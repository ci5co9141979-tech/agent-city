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dea Bank" sheetId="3" state="visible" r:id="rId3"/>
    <sheet xmlns:r="http://schemas.openxmlformats.org/officeDocument/2006/relationships" name="Content Calendar" sheetId="4" state="visible" r:id="rId4"/>
    <sheet xmlns:r="http://schemas.openxmlformats.org/officeDocument/2006/relationships" name="Weekly Planner" sheetId="5" state="visible" r:id="rId5"/>
    <sheet xmlns:r="http://schemas.openxmlformats.org/officeDocument/2006/relationships" name="Budget Tracker" sheetId="6" state="visible" r:id="rId6"/>
    <sheet xmlns:r="http://schemas.openxmlformats.org/officeDocument/2006/relationships" name="Post Tracker" sheetId="7" state="visible" r:id="rId7"/>
  </sheets>
  <definedNames>
    <definedName name="_xlnm._FilterDatabase" localSheetId="2" hidden="1">'Idea Bank'!$A$1:$F$91</definedName>
    <definedName name="_xlnm._FilterDatabase" localSheetId="3" hidden="1">'Content Calendar'!$A$1:$I$157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d mmm d, yyyy"/>
    <numFmt numFmtId="165" formatCode="$#,##0.00"/>
    <numFmt numFmtId="166" formatCode="0.0%"/>
  </numFmts>
  <fonts count="7">
    <font>
      <name val="Calibri"/>
      <family val="2"/>
      <color theme="1"/>
      <sz val="11"/>
      <scheme val="minor"/>
    </font>
    <font>
      <b val="1"/>
      <color rgb="002F6F5E"/>
      <sz val="20"/>
    </font>
    <font>
      <b val="1"/>
    </font>
    <font>
      <b val="1"/>
      <color rgb="002F6F5E"/>
      <sz val="16"/>
    </font>
    <font>
      <name val="Calibri"/>
      <b val="1"/>
      <color rgb="00FFFFFF"/>
      <sz val="11"/>
    </font>
    <font>
      <b val="1"/>
      <color rgb="002F6F5E"/>
      <sz val="18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2F6F5E"/>
      </patternFill>
    </fill>
    <fill>
      <patternFill patternType="solid">
        <fgColor rgb="00E8F1E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2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5" fillId="0" borderId="0" pivotButton="0" quotePrefix="0" xfId="0"/>
    <xf numFmtId="0" fontId="4" fillId="3" borderId="1" applyAlignment="1" pivotButton="0" quotePrefix="0" xfId="0">
      <alignment horizontal="center"/>
    </xf>
    <xf numFmtId="0" fontId="2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" pivotButton="0" quotePrefix="0" xfId="0"/>
    <xf numFmtId="0" fontId="2" fillId="4" borderId="0" pivotButton="0" quotePrefix="0" xfId="0"/>
    <xf numFmtId="0" fontId="0" fillId="4" borderId="0" pivotButton="0" quotePrefix="0" xfId="0"/>
    <xf numFmtId="165" fontId="0" fillId="0" borderId="1" pivotButton="0" quotePrefix="0" xfId="0"/>
    <xf numFmtId="165" fontId="0" fillId="0" borderId="0" pivotButton="0" quotePrefix="0" xfId="0"/>
    <xf numFmtId="165" fontId="2" fillId="0" borderId="0" pivotButton="0" quotePrefix="0" xfId="0"/>
    <xf numFmtId="0" fontId="6" fillId="0" borderId="0" pivotButton="0" quotePrefix="0" xfId="0"/>
    <xf numFmtId="9" fontId="0" fillId="0" borderId="0" pivotButton="0" quotePrefix="0" xfId="0"/>
    <xf numFmtId="0" fontId="4" fillId="3" borderId="0" pivotButton="0" quotePrefix="0" xfId="0"/>
    <xf numFmtId="166" fontId="0" fillId="0" borderId="1" pivotButton="0" quotePrefix="0" xfId="0"/>
    <xf numFmtId="166" fontId="0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bgColor rgb="00E5E7EB"/>
        </patternFill>
      </fill>
    </dxf>
    <dxf>
      <fill>
        <patternFill patternType="solid">
          <bgColor rgb="00C6EFCE"/>
        </patternFill>
      </fill>
    </dxf>
    <dxf>
      <fill>
        <patternFill patternType="solid">
          <bgColor rgb="00FFEB9C"/>
        </patternFill>
      </fill>
    </dxf>
    <dxf>
      <fill>
        <patternFill patternType="solid">
          <bgColor rgb="00DDEBF7"/>
        </patternFill>
      </fill>
    </dxf>
    <dxf>
      <font>
        <b val="1"/>
        <color rgb="00B91C1C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90" customWidth="1" min="3" max="3"/>
  </cols>
  <sheetData>
    <row r="2">
      <c r="B2" s="1" t="inlineStr">
        <is>
          <t>Small Business Content &amp; Planning Vault</t>
        </is>
      </c>
    </row>
    <row r="4">
      <c r="B4" s="2" t="inlineStr">
        <is>
          <t>1. Settings</t>
        </is>
      </c>
      <c r="C4" s="3" t="inlineStr">
        <is>
          <t>Type your business name, topic, product and year once. Idea Bank and Calendar update.</t>
        </is>
      </c>
    </row>
    <row r="5">
      <c r="B5" s="2" t="inlineStr">
        <is>
          <t>2. Idea Bank</t>
        </is>
      </c>
      <c r="C5" s="3" t="inlineStr">
        <is>
          <t>90 ready-to-post prompts across 6 content pillars. Filter by pillar or platform.</t>
        </is>
      </c>
    </row>
    <row r="6">
      <c r="B6" s="2" t="inlineStr">
        <is>
          <t>3. Content Calendar</t>
        </is>
      </c>
      <c r="C6" s="3" t="inlineStr">
        <is>
          <t>A full year, one tab per quarter-style layout: date, platform, pillar, status, caption.</t>
        </is>
      </c>
    </row>
    <row r="7">
      <c r="B7" s="2" t="inlineStr">
        <is>
          <t>4. Weekly Planner</t>
        </is>
      </c>
      <c r="C7" s="3" t="inlineStr">
        <is>
          <t>Top 3 priorities, daily blocks, habits, wins. Duplicate the tab each week.</t>
        </is>
      </c>
    </row>
    <row r="8">
      <c r="B8" s="2" t="inlineStr">
        <is>
          <t>5. Budget Tracker</t>
        </is>
      </c>
      <c r="C8" s="3" t="inlineStr">
        <is>
          <t>Monthly income and expenses with automatic totals and profit.</t>
        </is>
      </c>
    </row>
    <row r="9">
      <c r="B9" s="2" t="inlineStr">
        <is>
          <t>6. Post Tracker</t>
        </is>
      </c>
      <c r="C9" s="3" t="inlineStr">
        <is>
          <t>Log results (reach, likes, clicks, sales) and see engagement rate and best pillar.</t>
        </is>
      </c>
    </row>
    <row r="10">
      <c r="B10" s="2" t="inlineStr"/>
      <c r="C10" s="3" t="inlineStr"/>
    </row>
    <row r="11">
      <c r="B11" s="2" t="inlineStr">
        <is>
          <t>Google Sheets</t>
        </is>
      </c>
      <c r="C11" s="3" t="inlineStr">
        <is>
          <t>File &gt; Import &gt; Upload &gt; 'Replace spreadsheet'. Everything works, including dropdowns and formulas.</t>
        </is>
      </c>
    </row>
    <row r="12">
      <c r="B12" s="2" t="inlineStr">
        <is>
          <t>Notion</t>
        </is>
      </c>
      <c r="C12" s="3" t="inlineStr">
        <is>
          <t>Import the CSVs from the Notion_CSVs folder: Add &gt; Import &gt; CSV.</t>
        </is>
      </c>
    </row>
    <row r="13">
      <c r="B13" s="2" t="inlineStr">
        <is>
          <t>Tip</t>
        </is>
      </c>
      <c r="C13" s="3" t="inlineStr">
        <is>
          <t>Edit only the cream-coloured input cells. Gray/green cells contain formulas.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38" customWidth="1" min="3" max="3"/>
  </cols>
  <sheetData>
    <row r="2">
      <c r="B2" s="4" t="inlineStr">
        <is>
          <t>Settings (edit the cream cells)</t>
        </is>
      </c>
    </row>
    <row r="4">
      <c r="B4" s="2" t="inlineStr">
        <is>
          <t>Business name</t>
        </is>
      </c>
      <c r="C4" s="5" t="inlineStr">
        <is>
          <t>My Business</t>
        </is>
      </c>
    </row>
    <row r="5">
      <c r="B5" s="2" t="inlineStr">
        <is>
          <t>Main topic</t>
        </is>
      </c>
      <c r="C5" s="5" t="inlineStr">
        <is>
          <t>my niche</t>
        </is>
      </c>
    </row>
    <row r="6">
      <c r="B6" s="2" t="inlineStr">
        <is>
          <t>Goal customers want</t>
        </is>
      </c>
      <c r="C6" s="5" t="inlineStr">
        <is>
          <t>get started</t>
        </is>
      </c>
    </row>
    <row r="7">
      <c r="B7" s="2" t="inlineStr">
        <is>
          <t>Product / offer</t>
        </is>
      </c>
      <c r="C7" s="5" t="inlineStr">
        <is>
          <t>my signature offer</t>
        </is>
      </c>
    </row>
    <row r="8">
      <c r="B8" s="2" t="inlineStr">
        <is>
          <t>Ideal customer</t>
        </is>
      </c>
      <c r="C8" s="5" t="inlineStr">
        <is>
          <t>customer</t>
        </is>
      </c>
    </row>
    <row r="9">
      <c r="B9" s="2" t="inlineStr">
        <is>
          <t>Year</t>
        </is>
      </c>
      <c r="C9" s="5" t="n">
        <v>2027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48" customWidth="1" min="3" max="3"/>
    <col width="58" customWidth="1" min="4" max="4"/>
    <col width="16" customWidth="1" min="5" max="5"/>
    <col width="9" customWidth="1" min="6" max="6"/>
  </cols>
  <sheetData>
    <row r="1">
      <c r="A1" s="6" t="inlineStr">
        <is>
          <t>#</t>
        </is>
      </c>
      <c r="B1" s="6" t="inlineStr">
        <is>
          <t>Pillar</t>
        </is>
      </c>
      <c r="C1" s="6" t="inlineStr">
        <is>
          <t>Idea template</t>
        </is>
      </c>
      <c r="D1" s="6" t="inlineStr">
        <is>
          <t>Your version (auto-filled)</t>
        </is>
      </c>
      <c r="E1" s="6" t="inlineStr">
        <is>
          <t>Best platform</t>
        </is>
      </c>
      <c r="F1" s="6" t="inlineStr">
        <is>
          <t>Used?</t>
        </is>
      </c>
    </row>
    <row r="2">
      <c r="A2" s="7" t="n">
        <v>1</v>
      </c>
      <c r="B2" s="7" t="inlineStr">
        <is>
          <t>Educate</t>
        </is>
      </c>
      <c r="C2" s="7" t="inlineStr">
        <is>
          <t>3 mistakes beginners make with {topic}</t>
        </is>
      </c>
      <c r="D2" s="7">
        <f>SUBSTITUTE(SUBSTITUTE(SUBSTITUTE(SUBSTITUTE(SUBSTITUTE(C2,"{topic}",Settings!$C$5),"{goal}",Settings!$C$6),"{product}",Settings!$C$7),"{customer}",Settings!$C$8),"{brand}",Settings!$C$4)</f>
        <v/>
      </c>
      <c r="E2" s="7" t="inlineStr">
        <is>
          <t>TikTok</t>
        </is>
      </c>
      <c r="F2" s="7" t="inlineStr">
        <is>
          <t>No</t>
        </is>
      </c>
    </row>
    <row r="3">
      <c r="A3" s="7" t="n">
        <v>2</v>
      </c>
      <c r="B3" s="7" t="inlineStr">
        <is>
          <t>Educate</t>
        </is>
      </c>
      <c r="C3" s="7" t="inlineStr">
        <is>
          <t>How to {goal} in 5 steps</t>
        </is>
      </c>
      <c r="D3" s="7">
        <f>SUBSTITUTE(SUBSTITUTE(SUBSTITUTE(SUBSTITUTE(SUBSTITUTE(C3,"{topic}",Settings!$C$5),"{goal}",Settings!$C$6),"{product}",Settings!$C$7),"{customer}",Settings!$C$8),"{brand}",Settings!$C$4)</f>
        <v/>
      </c>
      <c r="E3" s="7" t="inlineStr">
        <is>
          <t>Facebook</t>
        </is>
      </c>
      <c r="F3" s="7" t="inlineStr">
        <is>
          <t>No</t>
        </is>
      </c>
    </row>
    <row r="4">
      <c r="A4" s="7" t="n">
        <v>3</v>
      </c>
      <c r="B4" s="7" t="inlineStr">
        <is>
          <t>Educate</t>
        </is>
      </c>
      <c r="C4" s="7" t="inlineStr">
        <is>
          <t>Myth vs fact: {topic}</t>
        </is>
      </c>
      <c r="D4" s="7">
        <f>SUBSTITUTE(SUBSTITUTE(SUBSTITUTE(SUBSTITUTE(SUBSTITUTE(C4,"{topic}",Settings!$C$5),"{goal}",Settings!$C$6),"{product}",Settings!$C$7),"{customer}",Settings!$C$8),"{brand}",Settings!$C$4)</f>
        <v/>
      </c>
      <c r="E4" s="7" t="inlineStr">
        <is>
          <t>LinkedIn</t>
        </is>
      </c>
      <c r="F4" s="7" t="inlineStr">
        <is>
          <t>No</t>
        </is>
      </c>
    </row>
    <row r="5">
      <c r="A5" s="7" t="n">
        <v>4</v>
      </c>
      <c r="B5" s="7" t="inlineStr">
        <is>
          <t>Educate</t>
        </is>
      </c>
      <c r="C5" s="7" t="inlineStr">
        <is>
          <t>A simple checklist for {goal}</t>
        </is>
      </c>
      <c r="D5" s="7">
        <f>SUBSTITUTE(SUBSTITUTE(SUBSTITUTE(SUBSTITUTE(SUBSTITUTE(C5,"{topic}",Settings!$C$5),"{goal}",Settings!$C$6),"{product}",Settings!$C$7),"{customer}",Settings!$C$8),"{brand}",Settings!$C$4)</f>
        <v/>
      </c>
      <c r="E5" s="7" t="inlineStr">
        <is>
          <t>Pinterest</t>
        </is>
      </c>
      <c r="F5" s="7" t="inlineStr">
        <is>
          <t>No</t>
        </is>
      </c>
    </row>
    <row r="6">
      <c r="A6" s="7" t="n">
        <v>5</v>
      </c>
      <c r="B6" s="7" t="inlineStr">
        <is>
          <t>Educate</t>
        </is>
      </c>
      <c r="C6" s="7" t="inlineStr">
        <is>
          <t>What I wish I knew before starting {topic}</t>
        </is>
      </c>
      <c r="D6" s="7">
        <f>SUBSTITUTE(SUBSTITUTE(SUBSTITUTE(SUBSTITUTE(SUBSTITUTE(C6,"{topic}",Settings!$C$5),"{goal}",Settings!$C$6),"{product}",Settings!$C$7),"{customer}",Settings!$C$8),"{brand}",Settings!$C$4)</f>
        <v/>
      </c>
      <c r="E6" s="7" t="inlineStr">
        <is>
          <t>Email</t>
        </is>
      </c>
      <c r="F6" s="7" t="inlineStr">
        <is>
          <t>No</t>
        </is>
      </c>
    </row>
    <row r="7">
      <c r="A7" s="7" t="n">
        <v>6</v>
      </c>
      <c r="B7" s="7" t="inlineStr">
        <is>
          <t>Educate</t>
        </is>
      </c>
      <c r="C7" s="7" t="inlineStr">
        <is>
          <t>Quick tip: the fastest way to {goal}</t>
        </is>
      </c>
      <c r="D7" s="7">
        <f>SUBSTITUTE(SUBSTITUTE(SUBSTITUTE(SUBSTITUTE(SUBSTITUTE(C7,"{topic}",Settings!$C$5),"{goal}",Settings!$C$6),"{product}",Settings!$C$7),"{customer}",Settings!$C$8),"{brand}",Settings!$C$4)</f>
        <v/>
      </c>
      <c r="E7" s="7" t="inlineStr">
        <is>
          <t>Instagram</t>
        </is>
      </c>
      <c r="F7" s="7" t="inlineStr">
        <is>
          <t>No</t>
        </is>
      </c>
    </row>
    <row r="8">
      <c r="A8" s="7" t="n">
        <v>7</v>
      </c>
      <c r="B8" s="7" t="inlineStr">
        <is>
          <t>Educate</t>
        </is>
      </c>
      <c r="C8" s="7" t="inlineStr">
        <is>
          <t>Beginner glossary: 5 {topic} terms explained</t>
        </is>
      </c>
      <c r="D8" s="7">
        <f>SUBSTITUTE(SUBSTITUTE(SUBSTITUTE(SUBSTITUTE(SUBSTITUTE(C8,"{topic}",Settings!$C$5),"{goal}",Settings!$C$6),"{product}",Settings!$C$7),"{customer}",Settings!$C$8),"{brand}",Settings!$C$4)</f>
        <v/>
      </c>
      <c r="E8" s="7" t="inlineStr">
        <is>
          <t>TikTok</t>
        </is>
      </c>
      <c r="F8" s="7" t="inlineStr">
        <is>
          <t>No</t>
        </is>
      </c>
    </row>
    <row r="9">
      <c r="A9" s="7" t="n">
        <v>8</v>
      </c>
      <c r="B9" s="7" t="inlineStr">
        <is>
          <t>Educate</t>
        </is>
      </c>
      <c r="C9" s="7" t="inlineStr">
        <is>
          <t>Tool stack I use for {topic}</t>
        </is>
      </c>
      <c r="D9" s="7">
        <f>SUBSTITUTE(SUBSTITUTE(SUBSTITUTE(SUBSTITUTE(SUBSTITUTE(C9,"{topic}",Settings!$C$5),"{goal}",Settings!$C$6),"{product}",Settings!$C$7),"{customer}",Settings!$C$8),"{brand}",Settings!$C$4)</f>
        <v/>
      </c>
      <c r="E9" s="7" t="inlineStr">
        <is>
          <t>Facebook</t>
        </is>
      </c>
      <c r="F9" s="7" t="inlineStr">
        <is>
          <t>No</t>
        </is>
      </c>
    </row>
    <row r="10">
      <c r="A10" s="7" t="n">
        <v>9</v>
      </c>
      <c r="B10" s="7" t="inlineStr">
        <is>
          <t>Educate</t>
        </is>
      </c>
      <c r="C10" s="7" t="inlineStr">
        <is>
          <t>Before/after: {goal}</t>
        </is>
      </c>
      <c r="D10" s="7">
        <f>SUBSTITUTE(SUBSTITUTE(SUBSTITUTE(SUBSTITUTE(SUBSTITUTE(C10,"{topic}",Settings!$C$5),"{goal}",Settings!$C$6),"{product}",Settings!$C$7),"{customer}",Settings!$C$8),"{brand}",Settings!$C$4)</f>
        <v/>
      </c>
      <c r="E10" s="7" t="inlineStr">
        <is>
          <t>LinkedIn</t>
        </is>
      </c>
      <c r="F10" s="7" t="inlineStr">
        <is>
          <t>No</t>
        </is>
      </c>
    </row>
    <row r="11">
      <c r="A11" s="7" t="n">
        <v>10</v>
      </c>
      <c r="B11" s="7" t="inlineStr">
        <is>
          <t>Educate</t>
        </is>
      </c>
      <c r="C11" s="7" t="inlineStr">
        <is>
          <t>FAQ: your top question about {topic}</t>
        </is>
      </c>
      <c r="D11" s="7">
        <f>SUBSTITUTE(SUBSTITUTE(SUBSTITUTE(SUBSTITUTE(SUBSTITUTE(C11,"{topic}",Settings!$C$5),"{goal}",Settings!$C$6),"{product}",Settings!$C$7),"{customer}",Settings!$C$8),"{brand}",Settings!$C$4)</f>
        <v/>
      </c>
      <c r="E11" s="7" t="inlineStr">
        <is>
          <t>Pinterest</t>
        </is>
      </c>
      <c r="F11" s="7" t="inlineStr">
        <is>
          <t>No</t>
        </is>
      </c>
    </row>
    <row r="12">
      <c r="A12" s="7" t="n">
        <v>11</v>
      </c>
      <c r="B12" s="7" t="inlineStr">
        <is>
          <t>Educate</t>
        </is>
      </c>
      <c r="C12" s="7" t="inlineStr">
        <is>
          <t>Common {topic} objections, answered</t>
        </is>
      </c>
      <c r="D12" s="7">
        <f>SUBSTITUTE(SUBSTITUTE(SUBSTITUTE(SUBSTITUTE(SUBSTITUTE(C12,"{topic}",Settings!$C$5),"{goal}",Settings!$C$6),"{product}",Settings!$C$7),"{customer}",Settings!$C$8),"{brand}",Settings!$C$4)</f>
        <v/>
      </c>
      <c r="E12" s="7" t="inlineStr">
        <is>
          <t>Email</t>
        </is>
      </c>
      <c r="F12" s="7" t="inlineStr">
        <is>
          <t>No</t>
        </is>
      </c>
    </row>
    <row r="13">
      <c r="A13" s="7" t="n">
        <v>12</v>
      </c>
      <c r="B13" s="7" t="inlineStr">
        <is>
          <t>Educate</t>
        </is>
      </c>
      <c r="C13" s="7" t="inlineStr">
        <is>
          <t>The 80/20 of {topic}</t>
        </is>
      </c>
      <c r="D13" s="7">
        <f>SUBSTITUTE(SUBSTITUTE(SUBSTITUTE(SUBSTITUTE(SUBSTITUTE(C13,"{topic}",Settings!$C$5),"{goal}",Settings!$C$6),"{product}",Settings!$C$7),"{customer}",Settings!$C$8),"{brand}",Settings!$C$4)</f>
        <v/>
      </c>
      <c r="E13" s="7" t="inlineStr">
        <is>
          <t>Instagram</t>
        </is>
      </c>
      <c r="F13" s="7" t="inlineStr">
        <is>
          <t>No</t>
        </is>
      </c>
    </row>
    <row r="14">
      <c r="A14" s="7" t="n">
        <v>13</v>
      </c>
      <c r="B14" s="7" t="inlineStr">
        <is>
          <t>Educate</t>
        </is>
      </c>
      <c r="C14" s="7" t="inlineStr">
        <is>
          <t>Step-by-step walkthrough: {goal}</t>
        </is>
      </c>
      <c r="D14" s="7">
        <f>SUBSTITUTE(SUBSTITUTE(SUBSTITUTE(SUBSTITUTE(SUBSTITUTE(C14,"{topic}",Settings!$C$5),"{goal}",Settings!$C$6),"{product}",Settings!$C$7),"{customer}",Settings!$C$8),"{brand}",Settings!$C$4)</f>
        <v/>
      </c>
      <c r="E14" s="7" t="inlineStr">
        <is>
          <t>TikTok</t>
        </is>
      </c>
      <c r="F14" s="7" t="inlineStr">
        <is>
          <t>No</t>
        </is>
      </c>
    </row>
    <row r="15">
      <c r="A15" s="7" t="n">
        <v>14</v>
      </c>
      <c r="B15" s="7" t="inlineStr">
        <is>
          <t>Educate</t>
        </is>
      </c>
      <c r="C15" s="7" t="inlineStr">
        <is>
          <t>Cheat sheet: {topic}</t>
        </is>
      </c>
      <c r="D15" s="7">
        <f>SUBSTITUTE(SUBSTITUTE(SUBSTITUTE(SUBSTITUTE(SUBSTITUTE(C15,"{topic}",Settings!$C$5),"{goal}",Settings!$C$6),"{product}",Settings!$C$7),"{customer}",Settings!$C$8),"{brand}",Settings!$C$4)</f>
        <v/>
      </c>
      <c r="E15" s="7" t="inlineStr">
        <is>
          <t>Facebook</t>
        </is>
      </c>
      <c r="F15" s="7" t="inlineStr">
        <is>
          <t>No</t>
        </is>
      </c>
    </row>
    <row r="16">
      <c r="A16" s="7" t="n">
        <v>15</v>
      </c>
      <c r="B16" s="7" t="inlineStr">
        <is>
          <t>Educate</t>
        </is>
      </c>
      <c r="C16" s="7" t="inlineStr">
        <is>
          <t>Do this, not that: {topic}</t>
        </is>
      </c>
      <c r="D16" s="7">
        <f>SUBSTITUTE(SUBSTITUTE(SUBSTITUTE(SUBSTITUTE(SUBSTITUTE(C16,"{topic}",Settings!$C$5),"{goal}",Settings!$C$6),"{product}",Settings!$C$7),"{customer}",Settings!$C$8),"{brand}",Settings!$C$4)</f>
        <v/>
      </c>
      <c r="E16" s="7" t="inlineStr">
        <is>
          <t>LinkedIn</t>
        </is>
      </c>
      <c r="F16" s="7" t="inlineStr">
        <is>
          <t>No</t>
        </is>
      </c>
    </row>
    <row r="17">
      <c r="A17" s="7" t="n">
        <v>16</v>
      </c>
      <c r="B17" s="7" t="inlineStr">
        <is>
          <t>Behind the scenes</t>
        </is>
      </c>
      <c r="C17" s="7" t="inlineStr">
        <is>
          <t>A day in my workflow</t>
        </is>
      </c>
      <c r="D17" s="7">
        <f>SUBSTITUTE(SUBSTITUTE(SUBSTITUTE(SUBSTITUTE(SUBSTITUTE(C17,"{topic}",Settings!$C$5),"{goal}",Settings!$C$6),"{product}",Settings!$C$7),"{customer}",Settings!$C$8),"{brand}",Settings!$C$4)</f>
        <v/>
      </c>
      <c r="E17" s="7" t="inlineStr">
        <is>
          <t>Pinterest</t>
        </is>
      </c>
      <c r="F17" s="7" t="inlineStr">
        <is>
          <t>No</t>
        </is>
      </c>
    </row>
    <row r="18">
      <c r="A18" s="7" t="n">
        <v>17</v>
      </c>
      <c r="B18" s="7" t="inlineStr">
        <is>
          <t>Behind the scenes</t>
        </is>
      </c>
      <c r="C18" s="7" t="inlineStr">
        <is>
          <t>How we make {product}</t>
        </is>
      </c>
      <c r="D18" s="7">
        <f>SUBSTITUTE(SUBSTITUTE(SUBSTITUTE(SUBSTITUTE(SUBSTITUTE(C18,"{topic}",Settings!$C$5),"{goal}",Settings!$C$6),"{product}",Settings!$C$7),"{customer}",Settings!$C$8),"{brand}",Settings!$C$4)</f>
        <v/>
      </c>
      <c r="E18" s="7" t="inlineStr">
        <is>
          <t>Email</t>
        </is>
      </c>
      <c r="F18" s="7" t="inlineStr">
        <is>
          <t>No</t>
        </is>
      </c>
    </row>
    <row r="19">
      <c r="A19" s="7" t="n">
        <v>18</v>
      </c>
      <c r="B19" s="7" t="inlineStr">
        <is>
          <t>Behind the scenes</t>
        </is>
      </c>
      <c r="C19" s="7" t="inlineStr">
        <is>
          <t>Desk/workspace tour</t>
        </is>
      </c>
      <c r="D19" s="7">
        <f>SUBSTITUTE(SUBSTITUTE(SUBSTITUTE(SUBSTITUTE(SUBSTITUTE(C19,"{topic}",Settings!$C$5),"{goal}",Settings!$C$6),"{product}",Settings!$C$7),"{customer}",Settings!$C$8),"{brand}",Settings!$C$4)</f>
        <v/>
      </c>
      <c r="E19" s="7" t="inlineStr">
        <is>
          <t>Instagram</t>
        </is>
      </c>
      <c r="F19" s="7" t="inlineStr">
        <is>
          <t>No</t>
        </is>
      </c>
    </row>
    <row r="20">
      <c r="A20" s="7" t="n">
        <v>19</v>
      </c>
      <c r="B20" s="7" t="inlineStr">
        <is>
          <t>Behind the scenes</t>
        </is>
      </c>
      <c r="C20" s="7" t="inlineStr">
        <is>
          <t>A mistake I made this month and what it taught me</t>
        </is>
      </c>
      <c r="D20" s="7">
        <f>SUBSTITUTE(SUBSTITUTE(SUBSTITUTE(SUBSTITUTE(SUBSTITUTE(C20,"{topic}",Settings!$C$5),"{goal}",Settings!$C$6),"{product}",Settings!$C$7),"{customer}",Settings!$C$8),"{brand}",Settings!$C$4)</f>
        <v/>
      </c>
      <c r="E20" s="7" t="inlineStr">
        <is>
          <t>TikTok</t>
        </is>
      </c>
      <c r="F20" s="7" t="inlineStr">
        <is>
          <t>No</t>
        </is>
      </c>
    </row>
    <row r="21">
      <c r="A21" s="7" t="n">
        <v>20</v>
      </c>
      <c r="B21" s="7" t="inlineStr">
        <is>
          <t>Behind the scenes</t>
        </is>
      </c>
      <c r="C21" s="7" t="inlineStr">
        <is>
          <t>Sneak peek: what I'm building next</t>
        </is>
      </c>
      <c r="D21" s="7">
        <f>SUBSTITUTE(SUBSTITUTE(SUBSTITUTE(SUBSTITUTE(SUBSTITUTE(C21,"{topic}",Settings!$C$5),"{goal}",Settings!$C$6),"{product}",Settings!$C$7),"{customer}",Settings!$C$8),"{brand}",Settings!$C$4)</f>
        <v/>
      </c>
      <c r="E21" s="7" t="inlineStr">
        <is>
          <t>Facebook</t>
        </is>
      </c>
      <c r="F21" s="7" t="inlineStr">
        <is>
          <t>No</t>
        </is>
      </c>
    </row>
    <row r="22">
      <c r="A22" s="7" t="n">
        <v>21</v>
      </c>
      <c r="B22" s="7" t="inlineStr">
        <is>
          <t>Behind the scenes</t>
        </is>
      </c>
      <c r="C22" s="7" t="inlineStr">
        <is>
          <t>Packing/delivering an order</t>
        </is>
      </c>
      <c r="D22" s="7">
        <f>SUBSTITUTE(SUBSTITUTE(SUBSTITUTE(SUBSTITUTE(SUBSTITUTE(C22,"{topic}",Settings!$C$5),"{goal}",Settings!$C$6),"{product}",Settings!$C$7),"{customer}",Settings!$C$8),"{brand}",Settings!$C$4)</f>
        <v/>
      </c>
      <c r="E22" s="7" t="inlineStr">
        <is>
          <t>LinkedIn</t>
        </is>
      </c>
      <c r="F22" s="7" t="inlineStr">
        <is>
          <t>No</t>
        </is>
      </c>
    </row>
    <row r="23">
      <c r="A23" s="7" t="n">
        <v>22</v>
      </c>
      <c r="B23" s="7" t="inlineStr">
        <is>
          <t>Behind the scenes</t>
        </is>
      </c>
      <c r="C23" s="7" t="inlineStr">
        <is>
          <t>Tools I couldn't live without</t>
        </is>
      </c>
      <c r="D23" s="7">
        <f>SUBSTITUTE(SUBSTITUTE(SUBSTITUTE(SUBSTITUTE(SUBSTITUTE(C23,"{topic}",Settings!$C$5),"{goal}",Settings!$C$6),"{product}",Settings!$C$7),"{customer}",Settings!$C$8),"{brand}",Settings!$C$4)</f>
        <v/>
      </c>
      <c r="E23" s="7" t="inlineStr">
        <is>
          <t>Pinterest</t>
        </is>
      </c>
      <c r="F23" s="7" t="inlineStr">
        <is>
          <t>No</t>
        </is>
      </c>
    </row>
    <row r="24">
      <c r="A24" s="7" t="n">
        <v>23</v>
      </c>
      <c r="B24" s="7" t="inlineStr">
        <is>
          <t>Behind the scenes</t>
        </is>
      </c>
      <c r="C24" s="7" t="inlineStr">
        <is>
          <t>How I plan my week</t>
        </is>
      </c>
      <c r="D24" s="7">
        <f>SUBSTITUTE(SUBSTITUTE(SUBSTITUTE(SUBSTITUTE(SUBSTITUTE(C24,"{topic}",Settings!$C$5),"{goal}",Settings!$C$6),"{product}",Settings!$C$7),"{customer}",Settings!$C$8),"{brand}",Settings!$C$4)</f>
        <v/>
      </c>
      <c r="E24" s="7" t="inlineStr">
        <is>
          <t>Email</t>
        </is>
      </c>
      <c r="F24" s="7" t="inlineStr">
        <is>
          <t>No</t>
        </is>
      </c>
    </row>
    <row r="25">
      <c r="A25" s="7" t="n">
        <v>24</v>
      </c>
      <c r="B25" s="7" t="inlineStr">
        <is>
          <t>Behind the scenes</t>
        </is>
      </c>
      <c r="C25" s="7" t="inlineStr">
        <is>
          <t>Time-lapse of a project</t>
        </is>
      </c>
      <c r="D25" s="7">
        <f>SUBSTITUTE(SUBSTITUTE(SUBSTITUTE(SUBSTITUTE(SUBSTITUTE(C25,"{topic}",Settings!$C$5),"{goal}",Settings!$C$6),"{product}",Settings!$C$7),"{customer}",Settings!$C$8),"{brand}",Settings!$C$4)</f>
        <v/>
      </c>
      <c r="E25" s="7" t="inlineStr">
        <is>
          <t>Instagram</t>
        </is>
      </c>
      <c r="F25" s="7" t="inlineStr">
        <is>
          <t>No</t>
        </is>
      </c>
    </row>
    <row r="26">
      <c r="A26" s="7" t="n">
        <v>25</v>
      </c>
      <c r="B26" s="7" t="inlineStr">
        <is>
          <t>Behind the scenes</t>
        </is>
      </c>
      <c r="C26" s="7" t="inlineStr">
        <is>
          <t>What a 'bad day' in business looks like</t>
        </is>
      </c>
      <c r="D26" s="7">
        <f>SUBSTITUTE(SUBSTITUTE(SUBSTITUTE(SUBSTITUTE(SUBSTITUTE(C26,"{topic}",Settings!$C$5),"{goal}",Settings!$C$6),"{product}",Settings!$C$7),"{customer}",Settings!$C$8),"{brand}",Settings!$C$4)</f>
        <v/>
      </c>
      <c r="E26" s="7" t="inlineStr">
        <is>
          <t>TikTok</t>
        </is>
      </c>
      <c r="F26" s="7" t="inlineStr">
        <is>
          <t>No</t>
        </is>
      </c>
    </row>
    <row r="27">
      <c r="A27" s="7" t="n">
        <v>26</v>
      </c>
      <c r="B27" s="7" t="inlineStr">
        <is>
          <t>Behind the scenes</t>
        </is>
      </c>
      <c r="C27" s="7" t="inlineStr">
        <is>
          <t>Meet the team / meet me</t>
        </is>
      </c>
      <c r="D27" s="7">
        <f>SUBSTITUTE(SUBSTITUTE(SUBSTITUTE(SUBSTITUTE(SUBSTITUTE(C27,"{topic}",Settings!$C$5),"{goal}",Settings!$C$6),"{product}",Settings!$C$7),"{customer}",Settings!$C$8),"{brand}",Settings!$C$4)</f>
        <v/>
      </c>
      <c r="E27" s="7" t="inlineStr">
        <is>
          <t>Facebook</t>
        </is>
      </c>
      <c r="F27" s="7" t="inlineStr">
        <is>
          <t>No</t>
        </is>
      </c>
    </row>
    <row r="28">
      <c r="A28" s="7" t="n">
        <v>27</v>
      </c>
      <c r="B28" s="7" t="inlineStr">
        <is>
          <t>Behind the scenes</t>
        </is>
      </c>
      <c r="C28" s="7" t="inlineStr">
        <is>
          <t>Where the idea for {product} came from</t>
        </is>
      </c>
      <c r="D28" s="7">
        <f>SUBSTITUTE(SUBSTITUTE(SUBSTITUTE(SUBSTITUTE(SUBSTITUTE(C28,"{topic}",Settings!$C$5),"{goal}",Settings!$C$6),"{product}",Settings!$C$7),"{customer}",Settings!$C$8),"{brand}",Settings!$C$4)</f>
        <v/>
      </c>
      <c r="E28" s="7" t="inlineStr">
        <is>
          <t>LinkedIn</t>
        </is>
      </c>
      <c r="F28" s="7" t="inlineStr">
        <is>
          <t>No</t>
        </is>
      </c>
    </row>
    <row r="29">
      <c r="A29" s="7" t="n">
        <v>28</v>
      </c>
      <c r="B29" s="7" t="inlineStr">
        <is>
          <t>Behind the scenes</t>
        </is>
      </c>
      <c r="C29" s="7" t="inlineStr">
        <is>
          <t>Raw numbers: this month's wins and flops</t>
        </is>
      </c>
      <c r="D29" s="7">
        <f>SUBSTITUTE(SUBSTITUTE(SUBSTITUTE(SUBSTITUTE(SUBSTITUTE(C29,"{topic}",Settings!$C$5),"{goal}",Settings!$C$6),"{product}",Settings!$C$7),"{customer}",Settings!$C$8),"{brand}",Settings!$C$4)</f>
        <v/>
      </c>
      <c r="E29" s="7" t="inlineStr">
        <is>
          <t>Pinterest</t>
        </is>
      </c>
      <c r="F29" s="7" t="inlineStr">
        <is>
          <t>No</t>
        </is>
      </c>
    </row>
    <row r="30">
      <c r="A30" s="7" t="n">
        <v>29</v>
      </c>
      <c r="B30" s="7" t="inlineStr">
        <is>
          <t>Behind the scenes</t>
        </is>
      </c>
      <c r="C30" s="7" t="inlineStr">
        <is>
          <t>How I price my work</t>
        </is>
      </c>
      <c r="D30" s="7">
        <f>SUBSTITUTE(SUBSTITUTE(SUBSTITUTE(SUBSTITUTE(SUBSTITUTE(C30,"{topic}",Settings!$C$5),"{goal}",Settings!$C$6),"{product}",Settings!$C$7),"{customer}",Settings!$C$8),"{brand}",Settings!$C$4)</f>
        <v/>
      </c>
      <c r="E30" s="7" t="inlineStr">
        <is>
          <t>Email</t>
        </is>
      </c>
      <c r="F30" s="7" t="inlineStr">
        <is>
          <t>No</t>
        </is>
      </c>
    </row>
    <row r="31">
      <c r="A31" s="7" t="n">
        <v>30</v>
      </c>
      <c r="B31" s="7" t="inlineStr">
        <is>
          <t>Behind the scenes</t>
        </is>
      </c>
      <c r="C31" s="7" t="inlineStr">
        <is>
          <t>Studio/office morning routine</t>
        </is>
      </c>
      <c r="D31" s="7">
        <f>SUBSTITUTE(SUBSTITUTE(SUBSTITUTE(SUBSTITUTE(SUBSTITUTE(C31,"{topic}",Settings!$C$5),"{goal}",Settings!$C$6),"{product}",Settings!$C$7),"{customer}",Settings!$C$8),"{brand}",Settings!$C$4)</f>
        <v/>
      </c>
      <c r="E31" s="7" t="inlineStr">
        <is>
          <t>Instagram</t>
        </is>
      </c>
      <c r="F31" s="7" t="inlineStr">
        <is>
          <t>No</t>
        </is>
      </c>
    </row>
    <row r="32">
      <c r="A32" s="7" t="n">
        <v>31</v>
      </c>
      <c r="B32" s="7" t="inlineStr">
        <is>
          <t>Social proof</t>
        </is>
      </c>
      <c r="C32" s="7" t="inlineStr">
        <is>
          <t>Customer result spotlight</t>
        </is>
      </c>
      <c r="D32" s="7">
        <f>SUBSTITUTE(SUBSTITUTE(SUBSTITUTE(SUBSTITUTE(SUBSTITUTE(C32,"{topic}",Settings!$C$5),"{goal}",Settings!$C$6),"{product}",Settings!$C$7),"{customer}",Settings!$C$8),"{brand}",Settings!$C$4)</f>
        <v/>
      </c>
      <c r="E32" s="7" t="inlineStr">
        <is>
          <t>TikTok</t>
        </is>
      </c>
      <c r="F32" s="7" t="inlineStr">
        <is>
          <t>No</t>
        </is>
      </c>
    </row>
    <row r="33">
      <c r="A33" s="7" t="n">
        <v>32</v>
      </c>
      <c r="B33" s="7" t="inlineStr">
        <is>
          <t>Social proof</t>
        </is>
      </c>
      <c r="C33" s="7" t="inlineStr">
        <is>
          <t>Screenshot of a kind message (with permission)</t>
        </is>
      </c>
      <c r="D33" s="7">
        <f>SUBSTITUTE(SUBSTITUTE(SUBSTITUTE(SUBSTITUTE(SUBSTITUTE(C33,"{topic}",Settings!$C$5),"{goal}",Settings!$C$6),"{product}",Settings!$C$7),"{customer}",Settings!$C$8),"{brand}",Settings!$C$4)</f>
        <v/>
      </c>
      <c r="E33" s="7" t="inlineStr">
        <is>
          <t>Facebook</t>
        </is>
      </c>
      <c r="F33" s="7" t="inlineStr">
        <is>
          <t>No</t>
        </is>
      </c>
    </row>
    <row r="34">
      <c r="A34" s="7" t="n">
        <v>33</v>
      </c>
      <c r="B34" s="7" t="inlineStr">
        <is>
          <t>Social proof</t>
        </is>
      </c>
      <c r="C34" s="7" t="inlineStr">
        <is>
          <t>Case study: before and after</t>
        </is>
      </c>
      <c r="D34" s="7">
        <f>SUBSTITUTE(SUBSTITUTE(SUBSTITUTE(SUBSTITUTE(SUBSTITUTE(C34,"{topic}",Settings!$C$5),"{goal}",Settings!$C$6),"{product}",Settings!$C$7),"{customer}",Settings!$C$8),"{brand}",Settings!$C$4)</f>
        <v/>
      </c>
      <c r="E34" s="7" t="inlineStr">
        <is>
          <t>LinkedIn</t>
        </is>
      </c>
      <c r="F34" s="7" t="inlineStr">
        <is>
          <t>No</t>
        </is>
      </c>
    </row>
    <row r="35">
      <c r="A35" s="7" t="n">
        <v>34</v>
      </c>
      <c r="B35" s="7" t="inlineStr">
        <is>
          <t>Social proof</t>
        </is>
      </c>
      <c r="C35" s="7" t="inlineStr">
        <is>
          <t>Review of the week</t>
        </is>
      </c>
      <c r="D35" s="7">
        <f>SUBSTITUTE(SUBSTITUTE(SUBSTITUTE(SUBSTITUTE(SUBSTITUTE(C35,"{topic}",Settings!$C$5),"{goal}",Settings!$C$6),"{product}",Settings!$C$7),"{customer}",Settings!$C$8),"{brand}",Settings!$C$4)</f>
        <v/>
      </c>
      <c r="E35" s="7" t="inlineStr">
        <is>
          <t>Pinterest</t>
        </is>
      </c>
      <c r="F35" s="7" t="inlineStr">
        <is>
          <t>No</t>
        </is>
      </c>
    </row>
    <row r="36">
      <c r="A36" s="7" t="n">
        <v>35</v>
      </c>
      <c r="B36" s="7" t="inlineStr">
        <is>
          <t>Social proof</t>
        </is>
      </c>
      <c r="C36" s="7" t="inlineStr">
        <is>
          <t>3 things customers say about {product}</t>
        </is>
      </c>
      <c r="D36" s="7">
        <f>SUBSTITUTE(SUBSTITUTE(SUBSTITUTE(SUBSTITUTE(SUBSTITUTE(C36,"{topic}",Settings!$C$5),"{goal}",Settings!$C$6),"{product}",Settings!$C$7),"{customer}",Settings!$C$8),"{brand}",Settings!$C$4)</f>
        <v/>
      </c>
      <c r="E36" s="7" t="inlineStr">
        <is>
          <t>Email</t>
        </is>
      </c>
      <c r="F36" s="7" t="inlineStr">
        <is>
          <t>No</t>
        </is>
      </c>
    </row>
    <row r="37">
      <c r="A37" s="7" t="n">
        <v>36</v>
      </c>
      <c r="B37" s="7" t="inlineStr">
        <is>
          <t>Social proof</t>
        </is>
      </c>
      <c r="C37" s="7" t="inlineStr">
        <is>
          <t>User-generated content repost</t>
        </is>
      </c>
      <c r="D37" s="7">
        <f>SUBSTITUTE(SUBSTITUTE(SUBSTITUTE(SUBSTITUTE(SUBSTITUTE(C37,"{topic}",Settings!$C$5),"{goal}",Settings!$C$6),"{product}",Settings!$C$7),"{customer}",Settings!$C$8),"{brand}",Settings!$C$4)</f>
        <v/>
      </c>
      <c r="E37" s="7" t="inlineStr">
        <is>
          <t>Instagram</t>
        </is>
      </c>
      <c r="F37" s="7" t="inlineStr">
        <is>
          <t>No</t>
        </is>
      </c>
    </row>
    <row r="38">
      <c r="A38" s="7" t="n">
        <v>37</v>
      </c>
      <c r="B38" s="7" t="inlineStr">
        <is>
          <t>Social proof</t>
        </is>
      </c>
      <c r="C38" s="7" t="inlineStr">
        <is>
          <t>Milestone celebration</t>
        </is>
      </c>
      <c r="D38" s="7">
        <f>SUBSTITUTE(SUBSTITUTE(SUBSTITUTE(SUBSTITUTE(SUBSTITUTE(C38,"{topic}",Settings!$C$5),"{goal}",Settings!$C$6),"{product}",Settings!$C$7),"{customer}",Settings!$C$8),"{brand}",Settings!$C$4)</f>
        <v/>
      </c>
      <c r="E38" s="7" t="inlineStr">
        <is>
          <t>TikTok</t>
        </is>
      </c>
      <c r="F38" s="7" t="inlineStr">
        <is>
          <t>No</t>
        </is>
      </c>
    </row>
    <row r="39">
      <c r="A39" s="7" t="n">
        <v>38</v>
      </c>
      <c r="B39" s="7" t="inlineStr">
        <is>
          <t>Social proof</t>
        </is>
      </c>
      <c r="C39" s="7" t="inlineStr">
        <is>
          <t>Testimonial carousel</t>
        </is>
      </c>
      <c r="D39" s="7">
        <f>SUBSTITUTE(SUBSTITUTE(SUBSTITUTE(SUBSTITUTE(SUBSTITUTE(C39,"{topic}",Settings!$C$5),"{goal}",Settings!$C$6),"{product}",Settings!$C$7),"{customer}",Settings!$C$8),"{brand}",Settings!$C$4)</f>
        <v/>
      </c>
      <c r="E39" s="7" t="inlineStr">
        <is>
          <t>Facebook</t>
        </is>
      </c>
      <c r="F39" s="7" t="inlineStr">
        <is>
          <t>No</t>
        </is>
      </c>
    </row>
    <row r="40">
      <c r="A40" s="7" t="n">
        <v>39</v>
      </c>
      <c r="B40" s="7" t="inlineStr">
        <is>
          <t>Social proof</t>
        </is>
      </c>
      <c r="C40" s="7" t="inlineStr">
        <is>
          <t>Question a customer asked, and my answer</t>
        </is>
      </c>
      <c r="D40" s="7">
        <f>SUBSTITUTE(SUBSTITUTE(SUBSTITUTE(SUBSTITUTE(SUBSTITUTE(C40,"{topic}",Settings!$C$5),"{goal}",Settings!$C$6),"{product}",Settings!$C$7),"{customer}",Settings!$C$8),"{brand}",Settings!$C$4)</f>
        <v/>
      </c>
      <c r="E40" s="7" t="inlineStr">
        <is>
          <t>LinkedIn</t>
        </is>
      </c>
      <c r="F40" s="7" t="inlineStr">
        <is>
          <t>No</t>
        </is>
      </c>
    </row>
    <row r="41">
      <c r="A41" s="7" t="n">
        <v>40</v>
      </c>
      <c r="B41" s="7" t="inlineStr">
        <is>
          <t>Social proof</t>
        </is>
      </c>
      <c r="C41" s="7" t="inlineStr">
        <is>
          <t>How {customer} used {product}</t>
        </is>
      </c>
      <c r="D41" s="7">
        <f>SUBSTITUTE(SUBSTITUTE(SUBSTITUTE(SUBSTITUTE(SUBSTITUTE(C41,"{topic}",Settings!$C$5),"{goal}",Settings!$C$6),"{product}",Settings!$C$7),"{customer}",Settings!$C$8),"{brand}",Settings!$C$4)</f>
        <v/>
      </c>
      <c r="E41" s="7" t="inlineStr">
        <is>
          <t>Pinterest</t>
        </is>
      </c>
      <c r="F41" s="7" t="inlineStr">
        <is>
          <t>No</t>
        </is>
      </c>
    </row>
    <row r="42">
      <c r="A42" s="7" t="n">
        <v>41</v>
      </c>
      <c r="B42" s="7" t="inlineStr">
        <is>
          <t>Social proof</t>
        </is>
      </c>
      <c r="C42" s="7" t="inlineStr">
        <is>
          <t>Press / mention / shout-out</t>
        </is>
      </c>
      <c r="D42" s="7">
        <f>SUBSTITUTE(SUBSTITUTE(SUBSTITUTE(SUBSTITUTE(SUBSTITUTE(C42,"{topic}",Settings!$C$5),"{goal}",Settings!$C$6),"{product}",Settings!$C$7),"{customer}",Settings!$C$8),"{brand}",Settings!$C$4)</f>
        <v/>
      </c>
      <c r="E42" s="7" t="inlineStr">
        <is>
          <t>Email</t>
        </is>
      </c>
      <c r="F42" s="7" t="inlineStr">
        <is>
          <t>No</t>
        </is>
      </c>
    </row>
    <row r="43">
      <c r="A43" s="7" t="n">
        <v>42</v>
      </c>
      <c r="B43" s="7" t="inlineStr">
        <is>
          <t>Social proof</t>
        </is>
      </c>
      <c r="C43" s="7" t="inlineStr">
        <is>
          <t>Numbers: orders, students, downloads to date</t>
        </is>
      </c>
      <c r="D43" s="7">
        <f>SUBSTITUTE(SUBSTITUTE(SUBSTITUTE(SUBSTITUTE(SUBSTITUTE(C43,"{topic}",Settings!$C$5),"{goal}",Settings!$C$6),"{product}",Settings!$C$7),"{customer}",Settings!$C$8),"{brand}",Settings!$C$4)</f>
        <v/>
      </c>
      <c r="E43" s="7" t="inlineStr">
        <is>
          <t>Instagram</t>
        </is>
      </c>
      <c r="F43" s="7" t="inlineStr">
        <is>
          <t>No</t>
        </is>
      </c>
    </row>
    <row r="44">
      <c r="A44" s="7" t="n">
        <v>43</v>
      </c>
      <c r="B44" s="7" t="inlineStr">
        <is>
          <t>Social proof</t>
        </is>
      </c>
      <c r="C44" s="7" t="inlineStr">
        <is>
          <t>Customer story in their own words</t>
        </is>
      </c>
      <c r="D44" s="7">
        <f>SUBSTITUTE(SUBSTITUTE(SUBSTITUTE(SUBSTITUTE(SUBSTITUTE(C44,"{topic}",Settings!$C$5),"{goal}",Settings!$C$6),"{product}",Settings!$C$7),"{customer}",Settings!$C$8),"{brand}",Settings!$C$4)</f>
        <v/>
      </c>
      <c r="E44" s="7" t="inlineStr">
        <is>
          <t>TikTok</t>
        </is>
      </c>
      <c r="F44" s="7" t="inlineStr">
        <is>
          <t>No</t>
        </is>
      </c>
    </row>
    <row r="45">
      <c r="A45" s="7" t="n">
        <v>44</v>
      </c>
      <c r="B45" s="7" t="inlineStr">
        <is>
          <t>Social proof</t>
        </is>
      </c>
      <c r="C45" s="7" t="inlineStr">
        <is>
          <t>Results in 30 days</t>
        </is>
      </c>
      <c r="D45" s="7">
        <f>SUBSTITUTE(SUBSTITUTE(SUBSTITUTE(SUBSTITUTE(SUBSTITUTE(C45,"{topic}",Settings!$C$5),"{goal}",Settings!$C$6),"{product}",Settings!$C$7),"{customer}",Settings!$C$8),"{brand}",Settings!$C$4)</f>
        <v/>
      </c>
      <c r="E45" s="7" t="inlineStr">
        <is>
          <t>Facebook</t>
        </is>
      </c>
      <c r="F45" s="7" t="inlineStr">
        <is>
          <t>No</t>
        </is>
      </c>
    </row>
    <row r="46">
      <c r="A46" s="7" t="n">
        <v>45</v>
      </c>
      <c r="B46" s="7" t="inlineStr">
        <is>
          <t>Social proof</t>
        </is>
      </c>
      <c r="C46" s="7" t="inlineStr">
        <is>
          <t>Why people come back</t>
        </is>
      </c>
      <c r="D46" s="7">
        <f>SUBSTITUTE(SUBSTITUTE(SUBSTITUTE(SUBSTITUTE(SUBSTITUTE(C46,"{topic}",Settings!$C$5),"{goal}",Settings!$C$6),"{product}",Settings!$C$7),"{customer}",Settings!$C$8),"{brand}",Settings!$C$4)</f>
        <v/>
      </c>
      <c r="E46" s="7" t="inlineStr">
        <is>
          <t>LinkedIn</t>
        </is>
      </c>
      <c r="F46" s="7" t="inlineStr">
        <is>
          <t>No</t>
        </is>
      </c>
    </row>
    <row r="47">
      <c r="A47" s="7" t="n">
        <v>46</v>
      </c>
      <c r="B47" s="7" t="inlineStr">
        <is>
          <t>Offer / promo</t>
        </is>
      </c>
      <c r="C47" s="7" t="inlineStr">
        <is>
          <t>Introducing {product}</t>
        </is>
      </c>
      <c r="D47" s="7">
        <f>SUBSTITUTE(SUBSTITUTE(SUBSTITUTE(SUBSTITUTE(SUBSTITUTE(C47,"{topic}",Settings!$C$5),"{goal}",Settings!$C$6),"{product}",Settings!$C$7),"{customer}",Settings!$C$8),"{brand}",Settings!$C$4)</f>
        <v/>
      </c>
      <c r="E47" s="7" t="inlineStr">
        <is>
          <t>Pinterest</t>
        </is>
      </c>
      <c r="F47" s="7" t="inlineStr">
        <is>
          <t>No</t>
        </is>
      </c>
    </row>
    <row r="48">
      <c r="A48" s="7" t="n">
        <v>47</v>
      </c>
      <c r="B48" s="7" t="inlineStr">
        <is>
          <t>Offer / promo</t>
        </is>
      </c>
      <c r="C48" s="7" t="inlineStr">
        <is>
          <t>Bundle spotlight and savings</t>
        </is>
      </c>
      <c r="D48" s="7">
        <f>SUBSTITUTE(SUBSTITUTE(SUBSTITUTE(SUBSTITUTE(SUBSTITUTE(C48,"{topic}",Settings!$C$5),"{goal}",Settings!$C$6),"{product}",Settings!$C$7),"{customer}",Settings!$C$8),"{brand}",Settings!$C$4)</f>
        <v/>
      </c>
      <c r="E48" s="7" t="inlineStr">
        <is>
          <t>Email</t>
        </is>
      </c>
      <c r="F48" s="7" t="inlineStr">
        <is>
          <t>No</t>
        </is>
      </c>
    </row>
    <row r="49">
      <c r="A49" s="7" t="n">
        <v>48</v>
      </c>
      <c r="B49" s="7" t="inlineStr">
        <is>
          <t>Offer / promo</t>
        </is>
      </c>
      <c r="C49" s="7" t="inlineStr">
        <is>
          <t>Limited-time bonus</t>
        </is>
      </c>
      <c r="D49" s="7">
        <f>SUBSTITUTE(SUBSTITUTE(SUBSTITUTE(SUBSTITUTE(SUBSTITUTE(C49,"{topic}",Settings!$C$5),"{goal}",Settings!$C$6),"{product}",Settings!$C$7),"{customer}",Settings!$C$8),"{brand}",Settings!$C$4)</f>
        <v/>
      </c>
      <c r="E49" s="7" t="inlineStr">
        <is>
          <t>Instagram</t>
        </is>
      </c>
      <c r="F49" s="7" t="inlineStr">
        <is>
          <t>No</t>
        </is>
      </c>
    </row>
    <row r="50">
      <c r="A50" s="7" t="n">
        <v>49</v>
      </c>
      <c r="B50" s="7" t="inlineStr">
        <is>
          <t>Offer / promo</t>
        </is>
      </c>
      <c r="C50" s="7" t="inlineStr">
        <is>
          <t>Last chance reminder</t>
        </is>
      </c>
      <c r="D50" s="7">
        <f>SUBSTITUTE(SUBSTITUTE(SUBSTITUTE(SUBSTITUTE(SUBSTITUTE(C50,"{topic}",Settings!$C$5),"{goal}",Settings!$C$6),"{product}",Settings!$C$7),"{customer}",Settings!$C$8),"{brand}",Settings!$C$4)</f>
        <v/>
      </c>
      <c r="E50" s="7" t="inlineStr">
        <is>
          <t>TikTok</t>
        </is>
      </c>
      <c r="F50" s="7" t="inlineStr">
        <is>
          <t>No</t>
        </is>
      </c>
    </row>
    <row r="51">
      <c r="A51" s="7" t="n">
        <v>50</v>
      </c>
      <c r="B51" s="7" t="inlineStr">
        <is>
          <t>Offer / promo</t>
        </is>
      </c>
      <c r="C51" s="7" t="inlineStr">
        <is>
          <t>Who {product} is NOT for</t>
        </is>
      </c>
      <c r="D51" s="7">
        <f>SUBSTITUTE(SUBSTITUTE(SUBSTITUTE(SUBSTITUTE(SUBSTITUTE(C51,"{topic}",Settings!$C$5),"{goal}",Settings!$C$6),"{product}",Settings!$C$7),"{customer}",Settings!$C$8),"{brand}",Settings!$C$4)</f>
        <v/>
      </c>
      <c r="E51" s="7" t="inlineStr">
        <is>
          <t>Facebook</t>
        </is>
      </c>
      <c r="F51" s="7" t="inlineStr">
        <is>
          <t>No</t>
        </is>
      </c>
    </row>
    <row r="52">
      <c r="A52" s="7" t="n">
        <v>51</v>
      </c>
      <c r="B52" s="7" t="inlineStr">
        <is>
          <t>Offer / promo</t>
        </is>
      </c>
      <c r="C52" s="7" t="inlineStr">
        <is>
          <t>What's inside {product}</t>
        </is>
      </c>
      <c r="D52" s="7">
        <f>SUBSTITUTE(SUBSTITUTE(SUBSTITUTE(SUBSTITUTE(SUBSTITUTE(C52,"{topic}",Settings!$C$5),"{goal}",Settings!$C$6),"{product}",Settings!$C$7),"{customer}",Settings!$C$8),"{brand}",Settings!$C$4)</f>
        <v/>
      </c>
      <c r="E52" s="7" t="inlineStr">
        <is>
          <t>LinkedIn</t>
        </is>
      </c>
      <c r="F52" s="7" t="inlineStr">
        <is>
          <t>No</t>
        </is>
      </c>
    </row>
    <row r="53">
      <c r="A53" s="7" t="n">
        <v>52</v>
      </c>
      <c r="B53" s="7" t="inlineStr">
        <is>
          <t>Offer / promo</t>
        </is>
      </c>
      <c r="C53" s="7" t="inlineStr">
        <is>
          <t>{product} in 60 seconds (demo)</t>
        </is>
      </c>
      <c r="D53" s="7">
        <f>SUBSTITUTE(SUBSTITUTE(SUBSTITUTE(SUBSTITUTE(SUBSTITUTE(C53,"{topic}",Settings!$C$5),"{goal}",Settings!$C$6),"{product}",Settings!$C$7),"{customer}",Settings!$C$8),"{brand}",Settings!$C$4)</f>
        <v/>
      </c>
      <c r="E53" s="7" t="inlineStr">
        <is>
          <t>Pinterest</t>
        </is>
      </c>
      <c r="F53" s="7" t="inlineStr">
        <is>
          <t>No</t>
        </is>
      </c>
    </row>
    <row r="54">
      <c r="A54" s="7" t="n">
        <v>53</v>
      </c>
      <c r="B54" s="7" t="inlineStr">
        <is>
          <t>Offer / promo</t>
        </is>
      </c>
      <c r="C54" s="7" t="inlineStr">
        <is>
          <t>Gift guide featuring {product}</t>
        </is>
      </c>
      <c r="D54" s="7">
        <f>SUBSTITUTE(SUBSTITUTE(SUBSTITUTE(SUBSTITUTE(SUBSTITUTE(C54,"{topic}",Settings!$C$5),"{goal}",Settings!$C$6),"{product}",Settings!$C$7),"{customer}",Settings!$C$8),"{brand}",Settings!$C$4)</f>
        <v/>
      </c>
      <c r="E54" s="7" t="inlineStr">
        <is>
          <t>Email</t>
        </is>
      </c>
      <c r="F54" s="7" t="inlineStr">
        <is>
          <t>No</t>
        </is>
      </c>
    </row>
    <row r="55">
      <c r="A55" s="7" t="n">
        <v>54</v>
      </c>
      <c r="B55" s="7" t="inlineStr">
        <is>
          <t>Offer / promo</t>
        </is>
      </c>
      <c r="C55" s="7" t="inlineStr">
        <is>
          <t>FAQ about {product}</t>
        </is>
      </c>
      <c r="D55" s="7">
        <f>SUBSTITUTE(SUBSTITUTE(SUBSTITUTE(SUBSTITUTE(SUBSTITUTE(C55,"{topic}",Settings!$C$5),"{goal}",Settings!$C$6),"{product}",Settings!$C$7),"{customer}",Settings!$C$8),"{brand}",Settings!$C$4)</f>
        <v/>
      </c>
      <c r="E55" s="7" t="inlineStr">
        <is>
          <t>Instagram</t>
        </is>
      </c>
      <c r="F55" s="7" t="inlineStr">
        <is>
          <t>No</t>
        </is>
      </c>
    </row>
    <row r="56">
      <c r="A56" s="7" t="n">
        <v>55</v>
      </c>
      <c r="B56" s="7" t="inlineStr">
        <is>
          <t>Offer / promo</t>
        </is>
      </c>
      <c r="C56" s="7" t="inlineStr">
        <is>
          <t>Compare: DIY vs {product}</t>
        </is>
      </c>
      <c r="D56" s="7">
        <f>SUBSTITUTE(SUBSTITUTE(SUBSTITUTE(SUBSTITUTE(SUBSTITUTE(C56,"{topic}",Settings!$C$5),"{goal}",Settings!$C$6),"{product}",Settings!$C$7),"{customer}",Settings!$C$8),"{brand}",Settings!$C$4)</f>
        <v/>
      </c>
      <c r="E56" s="7" t="inlineStr">
        <is>
          <t>TikTok</t>
        </is>
      </c>
      <c r="F56" s="7" t="inlineStr">
        <is>
          <t>No</t>
        </is>
      </c>
    </row>
    <row r="57">
      <c r="A57" s="7" t="n">
        <v>56</v>
      </c>
      <c r="B57" s="7" t="inlineStr">
        <is>
          <t>Offer / promo</t>
        </is>
      </c>
      <c r="C57" s="7" t="inlineStr">
        <is>
          <t>Early-bird price announcement</t>
        </is>
      </c>
      <c r="D57" s="7">
        <f>SUBSTITUTE(SUBSTITUTE(SUBSTITUTE(SUBSTITUTE(SUBSTITUTE(C57,"{topic}",Settings!$C$5),"{goal}",Settings!$C$6),"{product}",Settings!$C$7),"{customer}",Settings!$C$8),"{brand}",Settings!$C$4)</f>
        <v/>
      </c>
      <c r="E57" s="7" t="inlineStr">
        <is>
          <t>Facebook</t>
        </is>
      </c>
      <c r="F57" s="7" t="inlineStr">
        <is>
          <t>No</t>
        </is>
      </c>
    </row>
    <row r="58">
      <c r="A58" s="7" t="n">
        <v>57</v>
      </c>
      <c r="B58" s="7" t="inlineStr">
        <is>
          <t>Offer / promo</t>
        </is>
      </c>
      <c r="C58" s="7" t="inlineStr">
        <is>
          <t>New arrival</t>
        </is>
      </c>
      <c r="D58" s="7">
        <f>SUBSTITUTE(SUBSTITUTE(SUBSTITUTE(SUBSTITUTE(SUBSTITUTE(C58,"{topic}",Settings!$C$5),"{goal}",Settings!$C$6),"{product}",Settings!$C$7),"{customer}",Settings!$C$8),"{brand}",Settings!$C$4)</f>
        <v/>
      </c>
      <c r="E58" s="7" t="inlineStr">
        <is>
          <t>LinkedIn</t>
        </is>
      </c>
      <c r="F58" s="7" t="inlineStr">
        <is>
          <t>No</t>
        </is>
      </c>
    </row>
    <row r="59">
      <c r="A59" s="7" t="n">
        <v>58</v>
      </c>
      <c r="B59" s="7" t="inlineStr">
        <is>
          <t>Offer / promo</t>
        </is>
      </c>
      <c r="C59" s="7" t="inlineStr">
        <is>
          <t>Seasonal sale</t>
        </is>
      </c>
      <c r="D59" s="7">
        <f>SUBSTITUTE(SUBSTITUTE(SUBSTITUTE(SUBSTITUTE(SUBSTITUTE(C59,"{topic}",Settings!$C$5),"{goal}",Settings!$C$6),"{product}",Settings!$C$7),"{customer}",Settings!$C$8),"{brand}",Settings!$C$4)</f>
        <v/>
      </c>
      <c r="E59" s="7" t="inlineStr">
        <is>
          <t>Pinterest</t>
        </is>
      </c>
      <c r="F59" s="7" t="inlineStr">
        <is>
          <t>No</t>
        </is>
      </c>
    </row>
    <row r="60">
      <c r="A60" s="7" t="n">
        <v>59</v>
      </c>
      <c r="B60" s="7" t="inlineStr">
        <is>
          <t>Offer / promo</t>
        </is>
      </c>
      <c r="C60" s="7" t="inlineStr">
        <is>
          <t>Free sample / lead magnet</t>
        </is>
      </c>
      <c r="D60" s="7">
        <f>SUBSTITUTE(SUBSTITUTE(SUBSTITUTE(SUBSTITUTE(SUBSTITUTE(C60,"{topic}",Settings!$C$5),"{goal}",Settings!$C$6),"{product}",Settings!$C$7),"{customer}",Settings!$C$8),"{brand}",Settings!$C$4)</f>
        <v/>
      </c>
      <c r="E60" s="7" t="inlineStr">
        <is>
          <t>Email</t>
        </is>
      </c>
      <c r="F60" s="7" t="inlineStr">
        <is>
          <t>No</t>
        </is>
      </c>
    </row>
    <row r="61">
      <c r="A61" s="7" t="n">
        <v>60</v>
      </c>
      <c r="B61" s="7" t="inlineStr">
        <is>
          <t>Offer / promo</t>
        </is>
      </c>
      <c r="C61" s="7" t="inlineStr">
        <is>
          <t>Waitlist open</t>
        </is>
      </c>
      <c r="D61" s="7">
        <f>SUBSTITUTE(SUBSTITUTE(SUBSTITUTE(SUBSTITUTE(SUBSTITUTE(C61,"{topic}",Settings!$C$5),"{goal}",Settings!$C$6),"{product}",Settings!$C$7),"{customer}",Settings!$C$8),"{brand}",Settings!$C$4)</f>
        <v/>
      </c>
      <c r="E61" s="7" t="inlineStr">
        <is>
          <t>Instagram</t>
        </is>
      </c>
      <c r="F61" s="7" t="inlineStr">
        <is>
          <t>No</t>
        </is>
      </c>
    </row>
    <row r="62">
      <c r="A62" s="7" t="n">
        <v>61</v>
      </c>
      <c r="B62" s="7" t="inlineStr">
        <is>
          <t>Personal story</t>
        </is>
      </c>
      <c r="C62" s="7" t="inlineStr">
        <is>
          <t>Why I started</t>
        </is>
      </c>
      <c r="D62" s="7">
        <f>SUBSTITUTE(SUBSTITUTE(SUBSTITUTE(SUBSTITUTE(SUBSTITUTE(C62,"{topic}",Settings!$C$5),"{goal}",Settings!$C$6),"{product}",Settings!$C$7),"{customer}",Settings!$C$8),"{brand}",Settings!$C$4)</f>
        <v/>
      </c>
      <c r="E62" s="7" t="inlineStr">
        <is>
          <t>TikTok</t>
        </is>
      </c>
      <c r="F62" s="7" t="inlineStr">
        <is>
          <t>No</t>
        </is>
      </c>
    </row>
    <row r="63">
      <c r="A63" s="7" t="n">
        <v>62</v>
      </c>
      <c r="B63" s="7" t="inlineStr">
        <is>
          <t>Personal story</t>
        </is>
      </c>
      <c r="C63" s="7" t="inlineStr">
        <is>
          <t>My biggest fear in business</t>
        </is>
      </c>
      <c r="D63" s="7">
        <f>SUBSTITUTE(SUBSTITUTE(SUBSTITUTE(SUBSTITUTE(SUBSTITUTE(C63,"{topic}",Settings!$C$5),"{goal}",Settings!$C$6),"{product}",Settings!$C$7),"{customer}",Settings!$C$8),"{brand}",Settings!$C$4)</f>
        <v/>
      </c>
      <c r="E63" s="7" t="inlineStr">
        <is>
          <t>Facebook</t>
        </is>
      </c>
      <c r="F63" s="7" t="inlineStr">
        <is>
          <t>No</t>
        </is>
      </c>
    </row>
    <row r="64">
      <c r="A64" s="7" t="n">
        <v>63</v>
      </c>
      <c r="B64" s="7" t="inlineStr">
        <is>
          <t>Personal story</t>
        </is>
      </c>
      <c r="C64" s="7" t="inlineStr">
        <is>
          <t>A lesson from my first customer</t>
        </is>
      </c>
      <c r="D64" s="7">
        <f>SUBSTITUTE(SUBSTITUTE(SUBSTITUTE(SUBSTITUTE(SUBSTITUTE(C64,"{topic}",Settings!$C$5),"{goal}",Settings!$C$6),"{product}",Settings!$C$7),"{customer}",Settings!$C$8),"{brand}",Settings!$C$4)</f>
        <v/>
      </c>
      <c r="E64" s="7" t="inlineStr">
        <is>
          <t>LinkedIn</t>
        </is>
      </c>
      <c r="F64" s="7" t="inlineStr">
        <is>
          <t>No</t>
        </is>
      </c>
    </row>
    <row r="65">
      <c r="A65" s="7" t="n">
        <v>64</v>
      </c>
      <c r="B65" s="7" t="inlineStr">
        <is>
          <t>Personal story</t>
        </is>
      </c>
      <c r="C65" s="7" t="inlineStr">
        <is>
          <t>What I'd tell my past self</t>
        </is>
      </c>
      <c r="D65" s="7">
        <f>SUBSTITUTE(SUBSTITUTE(SUBSTITUTE(SUBSTITUTE(SUBSTITUTE(C65,"{topic}",Settings!$C$5),"{goal}",Settings!$C$6),"{product}",Settings!$C$7),"{customer}",Settings!$C$8),"{brand}",Settings!$C$4)</f>
        <v/>
      </c>
      <c r="E65" s="7" t="inlineStr">
        <is>
          <t>Pinterest</t>
        </is>
      </c>
      <c r="F65" s="7" t="inlineStr">
        <is>
          <t>No</t>
        </is>
      </c>
    </row>
    <row r="66">
      <c r="A66" s="7" t="n">
        <v>65</v>
      </c>
      <c r="B66" s="7" t="inlineStr">
        <is>
          <t>Personal story</t>
        </is>
      </c>
      <c r="C66" s="7" t="inlineStr">
        <is>
          <t>Something I'm proud of this year</t>
        </is>
      </c>
      <c r="D66" s="7">
        <f>SUBSTITUTE(SUBSTITUTE(SUBSTITUTE(SUBSTITUTE(SUBSTITUTE(C66,"{topic}",Settings!$C$5),"{goal}",Settings!$C$6),"{product}",Settings!$C$7),"{customer}",Settings!$C$8),"{brand}",Settings!$C$4)</f>
        <v/>
      </c>
      <c r="E66" s="7" t="inlineStr">
        <is>
          <t>Email</t>
        </is>
      </c>
      <c r="F66" s="7" t="inlineStr">
        <is>
          <t>No</t>
        </is>
      </c>
    </row>
    <row r="67">
      <c r="A67" s="7" t="n">
        <v>66</v>
      </c>
      <c r="B67" s="7" t="inlineStr">
        <is>
          <t>Personal story</t>
        </is>
      </c>
      <c r="C67" s="7" t="inlineStr">
        <is>
          <t>The moment I almost quit</t>
        </is>
      </c>
      <c r="D67" s="7">
        <f>SUBSTITUTE(SUBSTITUTE(SUBSTITUTE(SUBSTITUTE(SUBSTITUTE(C67,"{topic}",Settings!$C$5),"{goal}",Settings!$C$6),"{product}",Settings!$C$7),"{customer}",Settings!$C$8),"{brand}",Settings!$C$4)</f>
        <v/>
      </c>
      <c r="E67" s="7" t="inlineStr">
        <is>
          <t>Instagram</t>
        </is>
      </c>
      <c r="F67" s="7" t="inlineStr">
        <is>
          <t>No</t>
        </is>
      </c>
    </row>
    <row r="68">
      <c r="A68" s="7" t="n">
        <v>67</v>
      </c>
      <c r="B68" s="7" t="inlineStr">
        <is>
          <t>Personal story</t>
        </is>
      </c>
      <c r="C68" s="7" t="inlineStr">
        <is>
          <t>My values and why they matter</t>
        </is>
      </c>
      <c r="D68" s="7">
        <f>SUBSTITUTE(SUBSTITUTE(SUBSTITUTE(SUBSTITUTE(SUBSTITUTE(C68,"{topic}",Settings!$C$5),"{goal}",Settings!$C$6),"{product}",Settings!$C$7),"{customer}",Settings!$C$8),"{brand}",Settings!$C$4)</f>
        <v/>
      </c>
      <c r="E68" s="7" t="inlineStr">
        <is>
          <t>TikTok</t>
        </is>
      </c>
      <c r="F68" s="7" t="inlineStr">
        <is>
          <t>No</t>
        </is>
      </c>
    </row>
    <row r="69">
      <c r="A69" s="7" t="n">
        <v>68</v>
      </c>
      <c r="B69" s="7" t="inlineStr">
        <is>
          <t>Personal story</t>
        </is>
      </c>
      <c r="C69" s="7" t="inlineStr">
        <is>
          <t>A book/podcast that changed my approach</t>
        </is>
      </c>
      <c r="D69" s="7">
        <f>SUBSTITUTE(SUBSTITUTE(SUBSTITUTE(SUBSTITUTE(SUBSTITUTE(C69,"{topic}",Settings!$C$5),"{goal}",Settings!$C$6),"{product}",Settings!$C$7),"{customer}",Settings!$C$8),"{brand}",Settings!$C$4)</f>
        <v/>
      </c>
      <c r="E69" s="7" t="inlineStr">
        <is>
          <t>Facebook</t>
        </is>
      </c>
      <c r="F69" s="7" t="inlineStr">
        <is>
          <t>No</t>
        </is>
      </c>
    </row>
    <row r="70">
      <c r="A70" s="7" t="n">
        <v>69</v>
      </c>
      <c r="B70" s="7" t="inlineStr">
        <is>
          <t>Personal story</t>
        </is>
      </c>
      <c r="C70" s="7" t="inlineStr">
        <is>
          <t>How I got through a slow month</t>
        </is>
      </c>
      <c r="D70" s="7">
        <f>SUBSTITUTE(SUBSTITUTE(SUBSTITUTE(SUBSTITUTE(SUBSTITUTE(C70,"{topic}",Settings!$C$5),"{goal}",Settings!$C$6),"{product}",Settings!$C$7),"{customer}",Settings!$C$8),"{brand}",Settings!$C$4)</f>
        <v/>
      </c>
      <c r="E70" s="7" t="inlineStr">
        <is>
          <t>LinkedIn</t>
        </is>
      </c>
      <c r="F70" s="7" t="inlineStr">
        <is>
          <t>No</t>
        </is>
      </c>
    </row>
    <row r="71">
      <c r="A71" s="7" t="n">
        <v>70</v>
      </c>
      <c r="B71" s="7" t="inlineStr">
        <is>
          <t>Personal story</t>
        </is>
      </c>
      <c r="C71" s="7" t="inlineStr">
        <is>
          <t>What success looks like to me</t>
        </is>
      </c>
      <c r="D71" s="7">
        <f>SUBSTITUTE(SUBSTITUTE(SUBSTITUTE(SUBSTITUTE(SUBSTITUTE(C71,"{topic}",Settings!$C$5),"{goal}",Settings!$C$6),"{product}",Settings!$C$7),"{customer}",Settings!$C$8),"{brand}",Settings!$C$4)</f>
        <v/>
      </c>
      <c r="E71" s="7" t="inlineStr">
        <is>
          <t>Pinterest</t>
        </is>
      </c>
      <c r="F71" s="7" t="inlineStr">
        <is>
          <t>No</t>
        </is>
      </c>
    </row>
    <row r="72">
      <c r="A72" s="7" t="n">
        <v>71</v>
      </c>
      <c r="B72" s="7" t="inlineStr">
        <is>
          <t>Personal story</t>
        </is>
      </c>
      <c r="C72" s="7" t="inlineStr">
        <is>
          <t>A small win today</t>
        </is>
      </c>
      <c r="D72" s="7">
        <f>SUBSTITUTE(SUBSTITUTE(SUBSTITUTE(SUBSTITUTE(SUBSTITUTE(C72,"{topic}",Settings!$C$5),"{goal}",Settings!$C$6),"{product}",Settings!$C$7),"{customer}",Settings!$C$8),"{brand}",Settings!$C$4)</f>
        <v/>
      </c>
      <c r="E72" s="7" t="inlineStr">
        <is>
          <t>Email</t>
        </is>
      </c>
      <c r="F72" s="7" t="inlineStr">
        <is>
          <t>No</t>
        </is>
      </c>
    </row>
    <row r="73">
      <c r="A73" s="7" t="n">
        <v>72</v>
      </c>
      <c r="B73" s="7" t="inlineStr">
        <is>
          <t>Personal story</t>
        </is>
      </c>
      <c r="C73" s="7" t="inlineStr">
        <is>
          <t>Hobby that fuels my work</t>
        </is>
      </c>
      <c r="D73" s="7">
        <f>SUBSTITUTE(SUBSTITUTE(SUBSTITUTE(SUBSTITUTE(SUBSTITUTE(C73,"{topic}",Settings!$C$5),"{goal}",Settings!$C$6),"{product}",Settings!$C$7),"{customer}",Settings!$C$8),"{brand}",Settings!$C$4)</f>
        <v/>
      </c>
      <c r="E73" s="7" t="inlineStr">
        <is>
          <t>Instagram</t>
        </is>
      </c>
      <c r="F73" s="7" t="inlineStr">
        <is>
          <t>No</t>
        </is>
      </c>
    </row>
    <row r="74">
      <c r="A74" s="7" t="n">
        <v>73</v>
      </c>
      <c r="B74" s="7" t="inlineStr">
        <is>
          <t>Personal story</t>
        </is>
      </c>
      <c r="C74" s="7" t="inlineStr">
        <is>
          <t>Gratitude post</t>
        </is>
      </c>
      <c r="D74" s="7">
        <f>SUBSTITUTE(SUBSTITUTE(SUBSTITUTE(SUBSTITUTE(SUBSTITUTE(C74,"{topic}",Settings!$C$5),"{goal}",Settings!$C$6),"{product}",Settings!$C$7),"{customer}",Settings!$C$8),"{brand}",Settings!$C$4)</f>
        <v/>
      </c>
      <c r="E74" s="7" t="inlineStr">
        <is>
          <t>TikTok</t>
        </is>
      </c>
      <c r="F74" s="7" t="inlineStr">
        <is>
          <t>No</t>
        </is>
      </c>
    </row>
    <row r="75">
      <c r="A75" s="7" t="n">
        <v>74</v>
      </c>
      <c r="B75" s="7" t="inlineStr">
        <is>
          <t>Personal story</t>
        </is>
      </c>
      <c r="C75" s="7" t="inlineStr">
        <is>
          <t>Origin story of the logo/name</t>
        </is>
      </c>
      <c r="D75" s="7">
        <f>SUBSTITUTE(SUBSTITUTE(SUBSTITUTE(SUBSTITUTE(SUBSTITUTE(C75,"{topic}",Settings!$C$5),"{goal}",Settings!$C$6),"{product}",Settings!$C$7),"{customer}",Settings!$C$8),"{brand}",Settings!$C$4)</f>
        <v/>
      </c>
      <c r="E75" s="7" t="inlineStr">
        <is>
          <t>Facebook</t>
        </is>
      </c>
      <c r="F75" s="7" t="inlineStr">
        <is>
          <t>No</t>
        </is>
      </c>
    </row>
    <row r="76">
      <c r="A76" s="7" t="n">
        <v>75</v>
      </c>
      <c r="B76" s="7" t="inlineStr">
        <is>
          <t>Personal story</t>
        </is>
      </c>
      <c r="C76" s="7" t="inlineStr">
        <is>
          <t>Where I want to be in 12 months</t>
        </is>
      </c>
      <c r="D76" s="7">
        <f>SUBSTITUTE(SUBSTITUTE(SUBSTITUTE(SUBSTITUTE(SUBSTITUTE(C76,"{topic}",Settings!$C$5),"{goal}",Settings!$C$6),"{product}",Settings!$C$7),"{customer}",Settings!$C$8),"{brand}",Settings!$C$4)</f>
        <v/>
      </c>
      <c r="E76" s="7" t="inlineStr">
        <is>
          <t>LinkedIn</t>
        </is>
      </c>
      <c r="F76" s="7" t="inlineStr">
        <is>
          <t>No</t>
        </is>
      </c>
    </row>
    <row r="77">
      <c r="A77" s="7" t="n">
        <v>76</v>
      </c>
      <c r="B77" s="7" t="inlineStr">
        <is>
          <t>Engage / community</t>
        </is>
      </c>
      <c r="C77" s="7" t="inlineStr">
        <is>
          <t>This or that poll</t>
        </is>
      </c>
      <c r="D77" s="7">
        <f>SUBSTITUTE(SUBSTITUTE(SUBSTITUTE(SUBSTITUTE(SUBSTITUTE(C77,"{topic}",Settings!$C$5),"{goal}",Settings!$C$6),"{product}",Settings!$C$7),"{customer}",Settings!$C$8),"{brand}",Settings!$C$4)</f>
        <v/>
      </c>
      <c r="E77" s="7" t="inlineStr">
        <is>
          <t>Pinterest</t>
        </is>
      </c>
      <c r="F77" s="7" t="inlineStr">
        <is>
          <t>No</t>
        </is>
      </c>
    </row>
    <row r="78">
      <c r="A78" s="7" t="n">
        <v>77</v>
      </c>
      <c r="B78" s="7" t="inlineStr">
        <is>
          <t>Engage / community</t>
        </is>
      </c>
      <c r="C78" s="7" t="inlineStr">
        <is>
          <t>Ask me anything</t>
        </is>
      </c>
      <c r="D78" s="7">
        <f>SUBSTITUTE(SUBSTITUTE(SUBSTITUTE(SUBSTITUTE(SUBSTITUTE(C78,"{topic}",Settings!$C$5),"{goal}",Settings!$C$6),"{product}",Settings!$C$7),"{customer}",Settings!$C$8),"{brand}",Settings!$C$4)</f>
        <v/>
      </c>
      <c r="E78" s="7" t="inlineStr">
        <is>
          <t>Email</t>
        </is>
      </c>
      <c r="F78" s="7" t="inlineStr">
        <is>
          <t>No</t>
        </is>
      </c>
    </row>
    <row r="79">
      <c r="A79" s="7" t="n">
        <v>78</v>
      </c>
      <c r="B79" s="7" t="inlineStr">
        <is>
          <t>Engage / community</t>
        </is>
      </c>
      <c r="C79" s="7" t="inlineStr">
        <is>
          <t>Caption this</t>
        </is>
      </c>
      <c r="D79" s="7">
        <f>SUBSTITUTE(SUBSTITUTE(SUBSTITUTE(SUBSTITUTE(SUBSTITUTE(C79,"{topic}",Settings!$C$5),"{goal}",Settings!$C$6),"{product}",Settings!$C$7),"{customer}",Settings!$C$8),"{brand}",Settings!$C$4)</f>
        <v/>
      </c>
      <c r="E79" s="7" t="inlineStr">
        <is>
          <t>Instagram</t>
        </is>
      </c>
      <c r="F79" s="7" t="inlineStr">
        <is>
          <t>No</t>
        </is>
      </c>
    </row>
    <row r="80">
      <c r="A80" s="7" t="n">
        <v>79</v>
      </c>
      <c r="B80" s="7" t="inlineStr">
        <is>
          <t>Engage / community</t>
        </is>
      </c>
      <c r="C80" s="7" t="inlineStr">
        <is>
          <t>Fill in the blank: My favorite thing about {topic} is ___</t>
        </is>
      </c>
      <c r="D80" s="7">
        <f>SUBSTITUTE(SUBSTITUTE(SUBSTITUTE(SUBSTITUTE(SUBSTITUTE(C80,"{topic}",Settings!$C$5),"{goal}",Settings!$C$6),"{product}",Settings!$C$7),"{customer}",Settings!$C$8),"{brand}",Settings!$C$4)</f>
        <v/>
      </c>
      <c r="E80" s="7" t="inlineStr">
        <is>
          <t>TikTok</t>
        </is>
      </c>
      <c r="F80" s="7" t="inlineStr">
        <is>
          <t>No</t>
        </is>
      </c>
    </row>
    <row r="81">
      <c r="A81" s="7" t="n">
        <v>80</v>
      </c>
      <c r="B81" s="7" t="inlineStr">
        <is>
          <t>Engage / community</t>
        </is>
      </c>
      <c r="C81" s="7" t="inlineStr">
        <is>
          <t>What are you working on this week?</t>
        </is>
      </c>
      <c r="D81" s="7">
        <f>SUBSTITUTE(SUBSTITUTE(SUBSTITUTE(SUBSTITUTE(SUBSTITUTE(C81,"{topic}",Settings!$C$5),"{goal}",Settings!$C$6),"{product}",Settings!$C$7),"{customer}",Settings!$C$8),"{brand}",Settings!$C$4)</f>
        <v/>
      </c>
      <c r="E81" s="7" t="inlineStr">
        <is>
          <t>Facebook</t>
        </is>
      </c>
      <c r="F81" s="7" t="inlineStr">
        <is>
          <t>No</t>
        </is>
      </c>
    </row>
    <row r="82">
      <c r="A82" s="7" t="n">
        <v>81</v>
      </c>
      <c r="B82" s="7" t="inlineStr">
        <is>
          <t>Engage / community</t>
        </is>
      </c>
      <c r="C82" s="7" t="inlineStr">
        <is>
          <t>Share your setup</t>
        </is>
      </c>
      <c r="D82" s="7">
        <f>SUBSTITUTE(SUBSTITUTE(SUBSTITUTE(SUBSTITUTE(SUBSTITUTE(C82,"{topic}",Settings!$C$5),"{goal}",Settings!$C$6),"{product}",Settings!$C$7),"{customer}",Settings!$C$8),"{brand}",Settings!$C$4)</f>
        <v/>
      </c>
      <c r="E82" s="7" t="inlineStr">
        <is>
          <t>LinkedIn</t>
        </is>
      </c>
      <c r="F82" s="7" t="inlineStr">
        <is>
          <t>No</t>
        </is>
      </c>
    </row>
    <row r="83">
      <c r="A83" s="7" t="n">
        <v>82</v>
      </c>
      <c r="B83" s="7" t="inlineStr">
        <is>
          <t>Engage / community</t>
        </is>
      </c>
      <c r="C83" s="7" t="inlineStr">
        <is>
          <t>Vote: which design should I make next?</t>
        </is>
      </c>
      <c r="D83" s="7">
        <f>SUBSTITUTE(SUBSTITUTE(SUBSTITUTE(SUBSTITUTE(SUBSTITUTE(C83,"{topic}",Settings!$C$5),"{goal}",Settings!$C$6),"{product}",Settings!$C$7),"{customer}",Settings!$C$8),"{brand}",Settings!$C$4)</f>
        <v/>
      </c>
      <c r="E83" s="7" t="inlineStr">
        <is>
          <t>Pinterest</t>
        </is>
      </c>
      <c r="F83" s="7" t="inlineStr">
        <is>
          <t>No</t>
        </is>
      </c>
    </row>
    <row r="84">
      <c r="A84" s="7" t="n">
        <v>83</v>
      </c>
      <c r="B84" s="7" t="inlineStr">
        <is>
          <t>Engage / community</t>
        </is>
      </c>
      <c r="C84" s="7" t="inlineStr">
        <is>
          <t>Question box: your toughest {topic} problem</t>
        </is>
      </c>
      <c r="D84" s="7">
        <f>SUBSTITUTE(SUBSTITUTE(SUBSTITUTE(SUBSTITUTE(SUBSTITUTE(C84,"{topic}",Settings!$C$5),"{goal}",Settings!$C$6),"{product}",Settings!$C$7),"{customer}",Settings!$C$8),"{brand}",Settings!$C$4)</f>
        <v/>
      </c>
      <c r="E84" s="7" t="inlineStr">
        <is>
          <t>Email</t>
        </is>
      </c>
      <c r="F84" s="7" t="inlineStr">
        <is>
          <t>No</t>
        </is>
      </c>
    </row>
    <row r="85">
      <c r="A85" s="7" t="n">
        <v>84</v>
      </c>
      <c r="B85" s="7" t="inlineStr">
        <is>
          <t>Engage / community</t>
        </is>
      </c>
      <c r="C85" s="7" t="inlineStr">
        <is>
          <t>Tag someone who needs this</t>
        </is>
      </c>
      <c r="D85" s="7">
        <f>SUBSTITUTE(SUBSTITUTE(SUBSTITUTE(SUBSTITUTE(SUBSTITUTE(C85,"{topic}",Settings!$C$5),"{goal}",Settings!$C$6),"{product}",Settings!$C$7),"{customer}",Settings!$C$8),"{brand}",Settings!$C$4)</f>
        <v/>
      </c>
      <c r="E85" s="7" t="inlineStr">
        <is>
          <t>Instagram</t>
        </is>
      </c>
      <c r="F85" s="7" t="inlineStr">
        <is>
          <t>No</t>
        </is>
      </c>
    </row>
    <row r="86">
      <c r="A86" s="7" t="n">
        <v>85</v>
      </c>
      <c r="B86" s="7" t="inlineStr">
        <is>
          <t>Engage / community</t>
        </is>
      </c>
      <c r="C86" s="7" t="inlineStr">
        <is>
          <t>Wins of the week thread</t>
        </is>
      </c>
      <c r="D86" s="7">
        <f>SUBSTITUTE(SUBSTITUTE(SUBSTITUTE(SUBSTITUTE(SUBSTITUTE(C86,"{topic}",Settings!$C$5),"{goal}",Settings!$C$6),"{product}",Settings!$C$7),"{customer}",Settings!$C$8),"{brand}",Settings!$C$4)</f>
        <v/>
      </c>
      <c r="E86" s="7" t="inlineStr">
        <is>
          <t>TikTok</t>
        </is>
      </c>
      <c r="F86" s="7" t="inlineStr">
        <is>
          <t>No</t>
        </is>
      </c>
    </row>
    <row r="87">
      <c r="A87" s="7" t="n">
        <v>86</v>
      </c>
      <c r="B87" s="7" t="inlineStr">
        <is>
          <t>Engage / community</t>
        </is>
      </c>
      <c r="C87" s="7" t="inlineStr">
        <is>
          <t>Would you rather</t>
        </is>
      </c>
      <c r="D87" s="7">
        <f>SUBSTITUTE(SUBSTITUTE(SUBSTITUTE(SUBSTITUTE(SUBSTITUTE(C87,"{topic}",Settings!$C$5),"{goal}",Settings!$C$6),"{product}",Settings!$C$7),"{customer}",Settings!$C$8),"{brand}",Settings!$C$4)</f>
        <v/>
      </c>
      <c r="E87" s="7" t="inlineStr">
        <is>
          <t>Facebook</t>
        </is>
      </c>
      <c r="F87" s="7" t="inlineStr">
        <is>
          <t>No</t>
        </is>
      </c>
    </row>
    <row r="88">
      <c r="A88" s="7" t="n">
        <v>87</v>
      </c>
      <c r="B88" s="7" t="inlineStr">
        <is>
          <t>Engage / community</t>
        </is>
      </c>
      <c r="C88" s="7" t="inlineStr">
        <is>
          <t>Hot take on {topic}</t>
        </is>
      </c>
      <c r="D88" s="7">
        <f>SUBSTITUTE(SUBSTITUTE(SUBSTITUTE(SUBSTITUTE(SUBSTITUTE(C88,"{topic}",Settings!$C$5),"{goal}",Settings!$C$6),"{product}",Settings!$C$7),"{customer}",Settings!$C$8),"{brand}",Settings!$C$4)</f>
        <v/>
      </c>
      <c r="E88" s="7" t="inlineStr">
        <is>
          <t>LinkedIn</t>
        </is>
      </c>
      <c r="F88" s="7" t="inlineStr">
        <is>
          <t>No</t>
        </is>
      </c>
    </row>
    <row r="89">
      <c r="A89" s="7" t="n">
        <v>88</v>
      </c>
      <c r="B89" s="7" t="inlineStr">
        <is>
          <t>Engage / community</t>
        </is>
      </c>
      <c r="C89" s="7" t="inlineStr">
        <is>
          <t>Free resource round-up</t>
        </is>
      </c>
      <c r="D89" s="7">
        <f>SUBSTITUTE(SUBSTITUTE(SUBSTITUTE(SUBSTITUTE(SUBSTITUTE(C89,"{topic}",Settings!$C$5),"{goal}",Settings!$C$6),"{product}",Settings!$C$7),"{customer}",Settings!$C$8),"{brand}",Settings!$C$4)</f>
        <v/>
      </c>
      <c r="E89" s="7" t="inlineStr">
        <is>
          <t>Pinterest</t>
        </is>
      </c>
      <c r="F89" s="7" t="inlineStr">
        <is>
          <t>No</t>
        </is>
      </c>
    </row>
    <row r="90">
      <c r="A90" s="7" t="n">
        <v>89</v>
      </c>
      <c r="B90" s="7" t="inlineStr">
        <is>
          <t>Engage / community</t>
        </is>
      </c>
      <c r="C90" s="7" t="inlineStr">
        <is>
          <t>Poll: what do you struggle with most?</t>
        </is>
      </c>
      <c r="D90" s="7">
        <f>SUBSTITUTE(SUBSTITUTE(SUBSTITUTE(SUBSTITUTE(SUBSTITUTE(C90,"{topic}",Settings!$C$5),"{goal}",Settings!$C$6),"{product}",Settings!$C$7),"{customer}",Settings!$C$8),"{brand}",Settings!$C$4)</f>
        <v/>
      </c>
      <c r="E90" s="7" t="inlineStr">
        <is>
          <t>Email</t>
        </is>
      </c>
      <c r="F90" s="7" t="inlineStr">
        <is>
          <t>No</t>
        </is>
      </c>
    </row>
    <row r="91">
      <c r="A91" s="7" t="n">
        <v>90</v>
      </c>
      <c r="B91" s="7" t="inlineStr">
        <is>
          <t>Engage / community</t>
        </is>
      </c>
      <c r="C91" s="7" t="inlineStr">
        <is>
          <t>Giveaway / challenge</t>
        </is>
      </c>
      <c r="D91" s="7">
        <f>SUBSTITUTE(SUBSTITUTE(SUBSTITUTE(SUBSTITUTE(SUBSTITUTE(C91,"{topic}",Settings!$C$5),"{goal}",Settings!$C$6),"{product}",Settings!$C$7),"{customer}",Settings!$C$8),"{brand}",Settings!$C$4)</f>
        <v/>
      </c>
      <c r="E91" s="7" t="inlineStr">
        <is>
          <t>Instagram</t>
        </is>
      </c>
      <c r="F91" s="7" t="inlineStr">
        <is>
          <t>No</t>
        </is>
      </c>
    </row>
  </sheetData>
  <autoFilter ref="A1:F91"/>
  <conditionalFormatting sqref="A2:F91">
    <cfRule type="cellIs" priority="1" operator="equal" dxfId="0">
      <formula>"Yes"</formula>
    </cfRule>
  </conditionalFormatting>
  <dataValidations count="1">
    <dataValidation sqref="F2:F91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4" customWidth="1" min="4" max="4"/>
    <col width="20" customWidth="1" min="5" max="5"/>
    <col width="38" customWidth="1" min="6" max="6"/>
    <col width="55" customWidth="1" min="7" max="7"/>
    <col width="12" customWidth="1" min="8" max="8"/>
    <col width="24" customWidth="1" min="9" max="9"/>
  </cols>
  <sheetData>
    <row r="1">
      <c r="A1" s="6" t="inlineStr">
        <is>
          <t>Date</t>
        </is>
      </c>
      <c r="B1" s="6" t="inlineStr">
        <is>
          <t>Day</t>
        </is>
      </c>
      <c r="C1" s="6" t="inlineStr">
        <is>
          <t>Month</t>
        </is>
      </c>
      <c r="D1" s="6" t="inlineStr">
        <is>
          <t>Platform</t>
        </is>
      </c>
      <c r="E1" s="6" t="inlineStr">
        <is>
          <t>Pillar</t>
        </is>
      </c>
      <c r="F1" s="6" t="inlineStr">
        <is>
          <t>Idea / topic</t>
        </is>
      </c>
      <c r="G1" s="6" t="inlineStr">
        <is>
          <t>Caption</t>
        </is>
      </c>
      <c r="H1" s="6" t="inlineStr">
        <is>
          <t>Status</t>
        </is>
      </c>
      <c r="I1" s="6" t="inlineStr">
        <is>
          <t>Link</t>
        </is>
      </c>
    </row>
    <row r="2">
      <c r="A2" s="8">
        <f>DATE(Settings!$C$9,1,1)+MOD(7-WEEKDAY(DATE(Settings!$C$9,1,1),3),7)+0</f>
        <v/>
      </c>
      <c r="B2" s="7">
        <f>TEXT(A2,"dddd")</f>
        <v/>
      </c>
      <c r="C2" s="7">
        <f>TEXT(A2,"mmmm")</f>
        <v/>
      </c>
      <c r="D2" s="7" t="inlineStr">
        <is>
          <t>Instagram</t>
        </is>
      </c>
      <c r="E2" s="7" t="inlineStr">
        <is>
          <t>Educate</t>
        </is>
      </c>
      <c r="F2" s="7" t="n"/>
      <c r="G2" s="7" t="n"/>
      <c r="H2" s="7" t="inlineStr">
        <is>
          <t>Idea</t>
        </is>
      </c>
      <c r="I2" s="7" t="n"/>
    </row>
    <row r="3">
      <c r="A3" s="8">
        <f>DATE(Settings!$C$9,1,1)+MOD(7-WEEKDAY(DATE(Settings!$C$9,1,1),3),7)+2</f>
        <v/>
      </c>
      <c r="B3" s="7">
        <f>TEXT(A3,"dddd")</f>
        <v/>
      </c>
      <c r="C3" s="7">
        <f>TEXT(A3,"mmmm")</f>
        <v/>
      </c>
      <c r="D3" s="7" t="inlineStr">
        <is>
          <t>Facebook</t>
        </is>
      </c>
      <c r="E3" s="7" t="inlineStr">
        <is>
          <t>Behind the scenes</t>
        </is>
      </c>
      <c r="F3" s="7" t="n"/>
      <c r="G3" s="7" t="n"/>
      <c r="H3" s="7" t="inlineStr">
        <is>
          <t>Idea</t>
        </is>
      </c>
      <c r="I3" s="7" t="n"/>
    </row>
    <row r="4">
      <c r="A4" s="8">
        <f>DATE(Settings!$C$9,1,1)+MOD(7-WEEKDAY(DATE(Settings!$C$9,1,1),3),7)+4</f>
        <v/>
      </c>
      <c r="B4" s="7">
        <f>TEXT(A4,"dddd")</f>
        <v/>
      </c>
      <c r="C4" s="7">
        <f>TEXT(A4,"mmmm")</f>
        <v/>
      </c>
      <c r="D4" s="7" t="inlineStr">
        <is>
          <t>Instagram</t>
        </is>
      </c>
      <c r="E4" s="7" t="inlineStr">
        <is>
          <t>Social proof</t>
        </is>
      </c>
      <c r="F4" s="7" t="n"/>
      <c r="G4" s="7" t="n"/>
      <c r="H4" s="7" t="inlineStr">
        <is>
          <t>Idea</t>
        </is>
      </c>
      <c r="I4" s="7" t="n"/>
    </row>
    <row r="5">
      <c r="A5" s="8">
        <f>DATE(Settings!$C$9,1,1)+MOD(7-WEEKDAY(DATE(Settings!$C$9,1,1),3),7)+7</f>
        <v/>
      </c>
      <c r="B5" s="7">
        <f>TEXT(A5,"dddd")</f>
        <v/>
      </c>
      <c r="C5" s="7">
        <f>TEXT(A5,"mmmm")</f>
        <v/>
      </c>
      <c r="D5" s="7" t="inlineStr">
        <is>
          <t>Instagram</t>
        </is>
      </c>
      <c r="E5" s="7" t="inlineStr">
        <is>
          <t>Offer / promo</t>
        </is>
      </c>
      <c r="F5" s="7" t="n"/>
      <c r="G5" s="7" t="n"/>
      <c r="H5" s="7" t="inlineStr">
        <is>
          <t>Idea</t>
        </is>
      </c>
      <c r="I5" s="7" t="n"/>
    </row>
    <row r="6">
      <c r="A6" s="8">
        <f>DATE(Settings!$C$9,1,1)+MOD(7-WEEKDAY(DATE(Settings!$C$9,1,1),3),7)+9</f>
        <v/>
      </c>
      <c r="B6" s="7">
        <f>TEXT(A6,"dddd")</f>
        <v/>
      </c>
      <c r="C6" s="7">
        <f>TEXT(A6,"mmmm")</f>
        <v/>
      </c>
      <c r="D6" s="7" t="inlineStr">
        <is>
          <t>Facebook</t>
        </is>
      </c>
      <c r="E6" s="7" t="inlineStr">
        <is>
          <t>Personal story</t>
        </is>
      </c>
      <c r="F6" s="7" t="n"/>
      <c r="G6" s="7" t="n"/>
      <c r="H6" s="7" t="inlineStr">
        <is>
          <t>Idea</t>
        </is>
      </c>
      <c r="I6" s="7" t="n"/>
    </row>
    <row r="7">
      <c r="A7" s="8">
        <f>DATE(Settings!$C$9,1,1)+MOD(7-WEEKDAY(DATE(Settings!$C$9,1,1),3),7)+11</f>
        <v/>
      </c>
      <c r="B7" s="7">
        <f>TEXT(A7,"dddd")</f>
        <v/>
      </c>
      <c r="C7" s="7">
        <f>TEXT(A7,"mmmm")</f>
        <v/>
      </c>
      <c r="D7" s="7" t="inlineStr">
        <is>
          <t>Instagram</t>
        </is>
      </c>
      <c r="E7" s="7" t="inlineStr">
        <is>
          <t>Engage / community</t>
        </is>
      </c>
      <c r="F7" s="7" t="n"/>
      <c r="G7" s="7" t="n"/>
      <c r="H7" s="7" t="inlineStr">
        <is>
          <t>Idea</t>
        </is>
      </c>
      <c r="I7" s="7" t="n"/>
    </row>
    <row r="8">
      <c r="A8" s="8">
        <f>DATE(Settings!$C$9,1,1)+MOD(7-WEEKDAY(DATE(Settings!$C$9,1,1),3),7)+14</f>
        <v/>
      </c>
      <c r="B8" s="7">
        <f>TEXT(A8,"dddd")</f>
        <v/>
      </c>
      <c r="C8" s="7">
        <f>TEXT(A8,"mmmm")</f>
        <v/>
      </c>
      <c r="D8" s="7" t="inlineStr">
        <is>
          <t>Instagram</t>
        </is>
      </c>
      <c r="E8" s="7" t="inlineStr">
        <is>
          <t>Educate</t>
        </is>
      </c>
      <c r="F8" s="7" t="n"/>
      <c r="G8" s="7" t="n"/>
      <c r="H8" s="7" t="inlineStr">
        <is>
          <t>Idea</t>
        </is>
      </c>
      <c r="I8" s="7" t="n"/>
    </row>
    <row r="9">
      <c r="A9" s="8">
        <f>DATE(Settings!$C$9,1,1)+MOD(7-WEEKDAY(DATE(Settings!$C$9,1,1),3),7)+16</f>
        <v/>
      </c>
      <c r="B9" s="7">
        <f>TEXT(A9,"dddd")</f>
        <v/>
      </c>
      <c r="C9" s="7">
        <f>TEXT(A9,"mmmm")</f>
        <v/>
      </c>
      <c r="D9" s="7" t="inlineStr">
        <is>
          <t>Facebook</t>
        </is>
      </c>
      <c r="E9" s="7" t="inlineStr">
        <is>
          <t>Behind the scenes</t>
        </is>
      </c>
      <c r="F9" s="7" t="n"/>
      <c r="G9" s="7" t="n"/>
      <c r="H9" s="7" t="inlineStr">
        <is>
          <t>Idea</t>
        </is>
      </c>
      <c r="I9" s="7" t="n"/>
    </row>
    <row r="10">
      <c r="A10" s="8">
        <f>DATE(Settings!$C$9,1,1)+MOD(7-WEEKDAY(DATE(Settings!$C$9,1,1),3),7)+18</f>
        <v/>
      </c>
      <c r="B10" s="7">
        <f>TEXT(A10,"dddd")</f>
        <v/>
      </c>
      <c r="C10" s="7">
        <f>TEXT(A10,"mmmm")</f>
        <v/>
      </c>
      <c r="D10" s="7" t="inlineStr">
        <is>
          <t>Instagram</t>
        </is>
      </c>
      <c r="E10" s="7" t="inlineStr">
        <is>
          <t>Social proof</t>
        </is>
      </c>
      <c r="F10" s="7" t="n"/>
      <c r="G10" s="7" t="n"/>
      <c r="H10" s="7" t="inlineStr">
        <is>
          <t>Idea</t>
        </is>
      </c>
      <c r="I10" s="7" t="n"/>
    </row>
    <row r="11">
      <c r="A11" s="8">
        <f>DATE(Settings!$C$9,1,1)+MOD(7-WEEKDAY(DATE(Settings!$C$9,1,1),3),7)+21</f>
        <v/>
      </c>
      <c r="B11" s="7">
        <f>TEXT(A11,"dddd")</f>
        <v/>
      </c>
      <c r="C11" s="7">
        <f>TEXT(A11,"mmmm")</f>
        <v/>
      </c>
      <c r="D11" s="7" t="inlineStr">
        <is>
          <t>Instagram</t>
        </is>
      </c>
      <c r="E11" s="7" t="inlineStr">
        <is>
          <t>Offer / promo</t>
        </is>
      </c>
      <c r="F11" s="7" t="n"/>
      <c r="G11" s="7" t="n"/>
      <c r="H11" s="7" t="inlineStr">
        <is>
          <t>Idea</t>
        </is>
      </c>
      <c r="I11" s="7" t="n"/>
    </row>
    <row r="12">
      <c r="A12" s="8">
        <f>DATE(Settings!$C$9,1,1)+MOD(7-WEEKDAY(DATE(Settings!$C$9,1,1),3),7)+23</f>
        <v/>
      </c>
      <c r="B12" s="7">
        <f>TEXT(A12,"dddd")</f>
        <v/>
      </c>
      <c r="C12" s="7">
        <f>TEXT(A12,"mmmm")</f>
        <v/>
      </c>
      <c r="D12" s="7" t="inlineStr">
        <is>
          <t>Facebook</t>
        </is>
      </c>
      <c r="E12" s="7" t="inlineStr">
        <is>
          <t>Personal story</t>
        </is>
      </c>
      <c r="F12" s="7" t="n"/>
      <c r="G12" s="7" t="n"/>
      <c r="H12" s="7" t="inlineStr">
        <is>
          <t>Idea</t>
        </is>
      </c>
      <c r="I12" s="7" t="n"/>
    </row>
    <row r="13">
      <c r="A13" s="8">
        <f>DATE(Settings!$C$9,1,1)+MOD(7-WEEKDAY(DATE(Settings!$C$9,1,1),3),7)+25</f>
        <v/>
      </c>
      <c r="B13" s="7">
        <f>TEXT(A13,"dddd")</f>
        <v/>
      </c>
      <c r="C13" s="7">
        <f>TEXT(A13,"mmmm")</f>
        <v/>
      </c>
      <c r="D13" s="7" t="inlineStr">
        <is>
          <t>Instagram</t>
        </is>
      </c>
      <c r="E13" s="7" t="inlineStr">
        <is>
          <t>Engage / community</t>
        </is>
      </c>
      <c r="F13" s="7" t="n"/>
      <c r="G13" s="7" t="n"/>
      <c r="H13" s="7" t="inlineStr">
        <is>
          <t>Idea</t>
        </is>
      </c>
      <c r="I13" s="7" t="n"/>
    </row>
    <row r="14">
      <c r="A14" s="8">
        <f>DATE(Settings!$C$9,1,1)+MOD(7-WEEKDAY(DATE(Settings!$C$9,1,1),3),7)+28</f>
        <v/>
      </c>
      <c r="B14" s="7">
        <f>TEXT(A14,"dddd")</f>
        <v/>
      </c>
      <c r="C14" s="7">
        <f>TEXT(A14,"mmmm")</f>
        <v/>
      </c>
      <c r="D14" s="7" t="inlineStr">
        <is>
          <t>Instagram</t>
        </is>
      </c>
      <c r="E14" s="7" t="inlineStr">
        <is>
          <t>Educate</t>
        </is>
      </c>
      <c r="F14" s="7" t="n"/>
      <c r="G14" s="7" t="n"/>
      <c r="H14" s="7" t="inlineStr">
        <is>
          <t>Idea</t>
        </is>
      </c>
      <c r="I14" s="7" t="n"/>
    </row>
    <row r="15">
      <c r="A15" s="8">
        <f>DATE(Settings!$C$9,1,1)+MOD(7-WEEKDAY(DATE(Settings!$C$9,1,1),3),7)+30</f>
        <v/>
      </c>
      <c r="B15" s="7">
        <f>TEXT(A15,"dddd")</f>
        <v/>
      </c>
      <c r="C15" s="7">
        <f>TEXT(A15,"mmmm")</f>
        <v/>
      </c>
      <c r="D15" s="7" t="inlineStr">
        <is>
          <t>Facebook</t>
        </is>
      </c>
      <c r="E15" s="7" t="inlineStr">
        <is>
          <t>Behind the scenes</t>
        </is>
      </c>
      <c r="F15" s="7" t="n"/>
      <c r="G15" s="7" t="n"/>
      <c r="H15" s="7" t="inlineStr">
        <is>
          <t>Idea</t>
        </is>
      </c>
      <c r="I15" s="7" t="n"/>
    </row>
    <row r="16">
      <c r="A16" s="8">
        <f>DATE(Settings!$C$9,1,1)+MOD(7-WEEKDAY(DATE(Settings!$C$9,1,1),3),7)+32</f>
        <v/>
      </c>
      <c r="B16" s="7">
        <f>TEXT(A16,"dddd")</f>
        <v/>
      </c>
      <c r="C16" s="7">
        <f>TEXT(A16,"mmmm")</f>
        <v/>
      </c>
      <c r="D16" s="7" t="inlineStr">
        <is>
          <t>Instagram</t>
        </is>
      </c>
      <c r="E16" s="7" t="inlineStr">
        <is>
          <t>Social proof</t>
        </is>
      </c>
      <c r="F16" s="7" t="n"/>
      <c r="G16" s="7" t="n"/>
      <c r="H16" s="7" t="inlineStr">
        <is>
          <t>Idea</t>
        </is>
      </c>
      <c r="I16" s="7" t="n"/>
    </row>
    <row r="17">
      <c r="A17" s="8">
        <f>DATE(Settings!$C$9,1,1)+MOD(7-WEEKDAY(DATE(Settings!$C$9,1,1),3),7)+35</f>
        <v/>
      </c>
      <c r="B17" s="7">
        <f>TEXT(A17,"dddd")</f>
        <v/>
      </c>
      <c r="C17" s="7">
        <f>TEXT(A17,"mmmm")</f>
        <v/>
      </c>
      <c r="D17" s="7" t="inlineStr">
        <is>
          <t>Instagram</t>
        </is>
      </c>
      <c r="E17" s="7" t="inlineStr">
        <is>
          <t>Offer / promo</t>
        </is>
      </c>
      <c r="F17" s="7" t="n"/>
      <c r="G17" s="7" t="n"/>
      <c r="H17" s="7" t="inlineStr">
        <is>
          <t>Idea</t>
        </is>
      </c>
      <c r="I17" s="7" t="n"/>
    </row>
    <row r="18">
      <c r="A18" s="8">
        <f>DATE(Settings!$C$9,1,1)+MOD(7-WEEKDAY(DATE(Settings!$C$9,1,1),3),7)+37</f>
        <v/>
      </c>
      <c r="B18" s="7">
        <f>TEXT(A18,"dddd")</f>
        <v/>
      </c>
      <c r="C18" s="7">
        <f>TEXT(A18,"mmmm")</f>
        <v/>
      </c>
      <c r="D18" s="7" t="inlineStr">
        <is>
          <t>Facebook</t>
        </is>
      </c>
      <c r="E18" s="7" t="inlineStr">
        <is>
          <t>Personal story</t>
        </is>
      </c>
      <c r="F18" s="7" t="n"/>
      <c r="G18" s="7" t="n"/>
      <c r="H18" s="7" t="inlineStr">
        <is>
          <t>Idea</t>
        </is>
      </c>
      <c r="I18" s="7" t="n"/>
    </row>
    <row r="19">
      <c r="A19" s="8">
        <f>DATE(Settings!$C$9,1,1)+MOD(7-WEEKDAY(DATE(Settings!$C$9,1,1),3),7)+39</f>
        <v/>
      </c>
      <c r="B19" s="7">
        <f>TEXT(A19,"dddd")</f>
        <v/>
      </c>
      <c r="C19" s="7">
        <f>TEXT(A19,"mmmm")</f>
        <v/>
      </c>
      <c r="D19" s="7" t="inlineStr">
        <is>
          <t>Instagram</t>
        </is>
      </c>
      <c r="E19" s="7" t="inlineStr">
        <is>
          <t>Engage / community</t>
        </is>
      </c>
      <c r="F19" s="7" t="n"/>
      <c r="G19" s="7" t="n"/>
      <c r="H19" s="7" t="inlineStr">
        <is>
          <t>Idea</t>
        </is>
      </c>
      <c r="I19" s="7" t="n"/>
    </row>
    <row r="20">
      <c r="A20" s="8">
        <f>DATE(Settings!$C$9,1,1)+MOD(7-WEEKDAY(DATE(Settings!$C$9,1,1),3),7)+42</f>
        <v/>
      </c>
      <c r="B20" s="7">
        <f>TEXT(A20,"dddd")</f>
        <v/>
      </c>
      <c r="C20" s="7">
        <f>TEXT(A20,"mmmm")</f>
        <v/>
      </c>
      <c r="D20" s="7" t="inlineStr">
        <is>
          <t>Instagram</t>
        </is>
      </c>
      <c r="E20" s="7" t="inlineStr">
        <is>
          <t>Educate</t>
        </is>
      </c>
      <c r="F20" s="7" t="n"/>
      <c r="G20" s="7" t="n"/>
      <c r="H20" s="7" t="inlineStr">
        <is>
          <t>Idea</t>
        </is>
      </c>
      <c r="I20" s="7" t="n"/>
    </row>
    <row r="21">
      <c r="A21" s="8">
        <f>DATE(Settings!$C$9,1,1)+MOD(7-WEEKDAY(DATE(Settings!$C$9,1,1),3),7)+44</f>
        <v/>
      </c>
      <c r="B21" s="7">
        <f>TEXT(A21,"dddd")</f>
        <v/>
      </c>
      <c r="C21" s="7">
        <f>TEXT(A21,"mmmm")</f>
        <v/>
      </c>
      <c r="D21" s="7" t="inlineStr">
        <is>
          <t>Facebook</t>
        </is>
      </c>
      <c r="E21" s="7" t="inlineStr">
        <is>
          <t>Behind the scenes</t>
        </is>
      </c>
      <c r="F21" s="7" t="n"/>
      <c r="G21" s="7" t="n"/>
      <c r="H21" s="7" t="inlineStr">
        <is>
          <t>Idea</t>
        </is>
      </c>
      <c r="I21" s="7" t="n"/>
    </row>
    <row r="22">
      <c r="A22" s="8">
        <f>DATE(Settings!$C$9,1,1)+MOD(7-WEEKDAY(DATE(Settings!$C$9,1,1),3),7)+46</f>
        <v/>
      </c>
      <c r="B22" s="7">
        <f>TEXT(A22,"dddd")</f>
        <v/>
      </c>
      <c r="C22" s="7">
        <f>TEXT(A22,"mmmm")</f>
        <v/>
      </c>
      <c r="D22" s="7" t="inlineStr">
        <is>
          <t>Instagram</t>
        </is>
      </c>
      <c r="E22" s="7" t="inlineStr">
        <is>
          <t>Social proof</t>
        </is>
      </c>
      <c r="F22" s="7" t="n"/>
      <c r="G22" s="7" t="n"/>
      <c r="H22" s="7" t="inlineStr">
        <is>
          <t>Idea</t>
        </is>
      </c>
      <c r="I22" s="7" t="n"/>
    </row>
    <row r="23">
      <c r="A23" s="8">
        <f>DATE(Settings!$C$9,1,1)+MOD(7-WEEKDAY(DATE(Settings!$C$9,1,1),3),7)+49</f>
        <v/>
      </c>
      <c r="B23" s="7">
        <f>TEXT(A23,"dddd")</f>
        <v/>
      </c>
      <c r="C23" s="7">
        <f>TEXT(A23,"mmmm")</f>
        <v/>
      </c>
      <c r="D23" s="7" t="inlineStr">
        <is>
          <t>Instagram</t>
        </is>
      </c>
      <c r="E23" s="7" t="inlineStr">
        <is>
          <t>Offer / promo</t>
        </is>
      </c>
      <c r="F23" s="7" t="n"/>
      <c r="G23" s="7" t="n"/>
      <c r="H23" s="7" t="inlineStr">
        <is>
          <t>Idea</t>
        </is>
      </c>
      <c r="I23" s="7" t="n"/>
    </row>
    <row r="24">
      <c r="A24" s="8">
        <f>DATE(Settings!$C$9,1,1)+MOD(7-WEEKDAY(DATE(Settings!$C$9,1,1),3),7)+51</f>
        <v/>
      </c>
      <c r="B24" s="7">
        <f>TEXT(A24,"dddd")</f>
        <v/>
      </c>
      <c r="C24" s="7">
        <f>TEXT(A24,"mmmm")</f>
        <v/>
      </c>
      <c r="D24" s="7" t="inlineStr">
        <is>
          <t>Facebook</t>
        </is>
      </c>
      <c r="E24" s="7" t="inlineStr">
        <is>
          <t>Personal story</t>
        </is>
      </c>
      <c r="F24" s="7" t="n"/>
      <c r="G24" s="7" t="n"/>
      <c r="H24" s="7" t="inlineStr">
        <is>
          <t>Idea</t>
        </is>
      </c>
      <c r="I24" s="7" t="n"/>
    </row>
    <row r="25">
      <c r="A25" s="8">
        <f>DATE(Settings!$C$9,1,1)+MOD(7-WEEKDAY(DATE(Settings!$C$9,1,1),3),7)+53</f>
        <v/>
      </c>
      <c r="B25" s="7">
        <f>TEXT(A25,"dddd")</f>
        <v/>
      </c>
      <c r="C25" s="7">
        <f>TEXT(A25,"mmmm")</f>
        <v/>
      </c>
      <c r="D25" s="7" t="inlineStr">
        <is>
          <t>Instagram</t>
        </is>
      </c>
      <c r="E25" s="7" t="inlineStr">
        <is>
          <t>Engage / community</t>
        </is>
      </c>
      <c r="F25" s="7" t="n"/>
      <c r="G25" s="7" t="n"/>
      <c r="H25" s="7" t="inlineStr">
        <is>
          <t>Idea</t>
        </is>
      </c>
      <c r="I25" s="7" t="n"/>
    </row>
    <row r="26">
      <c r="A26" s="8">
        <f>DATE(Settings!$C$9,1,1)+MOD(7-WEEKDAY(DATE(Settings!$C$9,1,1),3),7)+56</f>
        <v/>
      </c>
      <c r="B26" s="7">
        <f>TEXT(A26,"dddd")</f>
        <v/>
      </c>
      <c r="C26" s="7">
        <f>TEXT(A26,"mmmm")</f>
        <v/>
      </c>
      <c r="D26" s="7" t="inlineStr">
        <is>
          <t>Instagram</t>
        </is>
      </c>
      <c r="E26" s="7" t="inlineStr">
        <is>
          <t>Educate</t>
        </is>
      </c>
      <c r="F26" s="7" t="n"/>
      <c r="G26" s="7" t="n"/>
      <c r="H26" s="7" t="inlineStr">
        <is>
          <t>Idea</t>
        </is>
      </c>
      <c r="I26" s="7" t="n"/>
    </row>
    <row r="27">
      <c r="A27" s="8">
        <f>DATE(Settings!$C$9,1,1)+MOD(7-WEEKDAY(DATE(Settings!$C$9,1,1),3),7)+58</f>
        <v/>
      </c>
      <c r="B27" s="7">
        <f>TEXT(A27,"dddd")</f>
        <v/>
      </c>
      <c r="C27" s="7">
        <f>TEXT(A27,"mmmm")</f>
        <v/>
      </c>
      <c r="D27" s="7" t="inlineStr">
        <is>
          <t>Facebook</t>
        </is>
      </c>
      <c r="E27" s="7" t="inlineStr">
        <is>
          <t>Behind the scenes</t>
        </is>
      </c>
      <c r="F27" s="7" t="n"/>
      <c r="G27" s="7" t="n"/>
      <c r="H27" s="7" t="inlineStr">
        <is>
          <t>Idea</t>
        </is>
      </c>
      <c r="I27" s="7" t="n"/>
    </row>
    <row r="28">
      <c r="A28" s="8">
        <f>DATE(Settings!$C$9,1,1)+MOD(7-WEEKDAY(DATE(Settings!$C$9,1,1),3),7)+60</f>
        <v/>
      </c>
      <c r="B28" s="7">
        <f>TEXT(A28,"dddd")</f>
        <v/>
      </c>
      <c r="C28" s="7">
        <f>TEXT(A28,"mmmm")</f>
        <v/>
      </c>
      <c r="D28" s="7" t="inlineStr">
        <is>
          <t>Instagram</t>
        </is>
      </c>
      <c r="E28" s="7" t="inlineStr">
        <is>
          <t>Social proof</t>
        </is>
      </c>
      <c r="F28" s="7" t="n"/>
      <c r="G28" s="7" t="n"/>
      <c r="H28" s="7" t="inlineStr">
        <is>
          <t>Idea</t>
        </is>
      </c>
      <c r="I28" s="7" t="n"/>
    </row>
    <row r="29">
      <c r="A29" s="8">
        <f>DATE(Settings!$C$9,1,1)+MOD(7-WEEKDAY(DATE(Settings!$C$9,1,1),3),7)+63</f>
        <v/>
      </c>
      <c r="B29" s="7">
        <f>TEXT(A29,"dddd")</f>
        <v/>
      </c>
      <c r="C29" s="7">
        <f>TEXT(A29,"mmmm")</f>
        <v/>
      </c>
      <c r="D29" s="7" t="inlineStr">
        <is>
          <t>Instagram</t>
        </is>
      </c>
      <c r="E29" s="7" t="inlineStr">
        <is>
          <t>Offer / promo</t>
        </is>
      </c>
      <c r="F29" s="7" t="n"/>
      <c r="G29" s="7" t="n"/>
      <c r="H29" s="7" t="inlineStr">
        <is>
          <t>Idea</t>
        </is>
      </c>
      <c r="I29" s="7" t="n"/>
    </row>
    <row r="30">
      <c r="A30" s="8">
        <f>DATE(Settings!$C$9,1,1)+MOD(7-WEEKDAY(DATE(Settings!$C$9,1,1),3),7)+65</f>
        <v/>
      </c>
      <c r="B30" s="7">
        <f>TEXT(A30,"dddd")</f>
        <v/>
      </c>
      <c r="C30" s="7">
        <f>TEXT(A30,"mmmm")</f>
        <v/>
      </c>
      <c r="D30" s="7" t="inlineStr">
        <is>
          <t>Facebook</t>
        </is>
      </c>
      <c r="E30" s="7" t="inlineStr">
        <is>
          <t>Personal story</t>
        </is>
      </c>
      <c r="F30" s="7" t="n"/>
      <c r="G30" s="7" t="n"/>
      <c r="H30" s="7" t="inlineStr">
        <is>
          <t>Idea</t>
        </is>
      </c>
      <c r="I30" s="7" t="n"/>
    </row>
    <row r="31">
      <c r="A31" s="8">
        <f>DATE(Settings!$C$9,1,1)+MOD(7-WEEKDAY(DATE(Settings!$C$9,1,1),3),7)+67</f>
        <v/>
      </c>
      <c r="B31" s="7">
        <f>TEXT(A31,"dddd")</f>
        <v/>
      </c>
      <c r="C31" s="7">
        <f>TEXT(A31,"mmmm")</f>
        <v/>
      </c>
      <c r="D31" s="7" t="inlineStr">
        <is>
          <t>Instagram</t>
        </is>
      </c>
      <c r="E31" s="7" t="inlineStr">
        <is>
          <t>Engage / community</t>
        </is>
      </c>
      <c r="F31" s="7" t="n"/>
      <c r="G31" s="7" t="n"/>
      <c r="H31" s="7" t="inlineStr">
        <is>
          <t>Idea</t>
        </is>
      </c>
      <c r="I31" s="7" t="n"/>
    </row>
    <row r="32">
      <c r="A32" s="8">
        <f>DATE(Settings!$C$9,1,1)+MOD(7-WEEKDAY(DATE(Settings!$C$9,1,1),3),7)+70</f>
        <v/>
      </c>
      <c r="B32" s="7">
        <f>TEXT(A32,"dddd")</f>
        <v/>
      </c>
      <c r="C32" s="7">
        <f>TEXT(A32,"mmmm")</f>
        <v/>
      </c>
      <c r="D32" s="7" t="inlineStr">
        <is>
          <t>Instagram</t>
        </is>
      </c>
      <c r="E32" s="7" t="inlineStr">
        <is>
          <t>Educate</t>
        </is>
      </c>
      <c r="F32" s="7" t="n"/>
      <c r="G32" s="7" t="n"/>
      <c r="H32" s="7" t="inlineStr">
        <is>
          <t>Idea</t>
        </is>
      </c>
      <c r="I32" s="7" t="n"/>
    </row>
    <row r="33">
      <c r="A33" s="8">
        <f>DATE(Settings!$C$9,1,1)+MOD(7-WEEKDAY(DATE(Settings!$C$9,1,1),3),7)+72</f>
        <v/>
      </c>
      <c r="B33" s="7">
        <f>TEXT(A33,"dddd")</f>
        <v/>
      </c>
      <c r="C33" s="7">
        <f>TEXT(A33,"mmmm")</f>
        <v/>
      </c>
      <c r="D33" s="7" t="inlineStr">
        <is>
          <t>Facebook</t>
        </is>
      </c>
      <c r="E33" s="7" t="inlineStr">
        <is>
          <t>Behind the scenes</t>
        </is>
      </c>
      <c r="F33" s="7" t="n"/>
      <c r="G33" s="7" t="n"/>
      <c r="H33" s="7" t="inlineStr">
        <is>
          <t>Idea</t>
        </is>
      </c>
      <c r="I33" s="7" t="n"/>
    </row>
    <row r="34">
      <c r="A34" s="8">
        <f>DATE(Settings!$C$9,1,1)+MOD(7-WEEKDAY(DATE(Settings!$C$9,1,1),3),7)+74</f>
        <v/>
      </c>
      <c r="B34" s="7">
        <f>TEXT(A34,"dddd")</f>
        <v/>
      </c>
      <c r="C34" s="7">
        <f>TEXT(A34,"mmmm")</f>
        <v/>
      </c>
      <c r="D34" s="7" t="inlineStr">
        <is>
          <t>Instagram</t>
        </is>
      </c>
      <c r="E34" s="7" t="inlineStr">
        <is>
          <t>Social proof</t>
        </is>
      </c>
      <c r="F34" s="7" t="n"/>
      <c r="G34" s="7" t="n"/>
      <c r="H34" s="7" t="inlineStr">
        <is>
          <t>Idea</t>
        </is>
      </c>
      <c r="I34" s="7" t="n"/>
    </row>
    <row r="35">
      <c r="A35" s="8">
        <f>DATE(Settings!$C$9,1,1)+MOD(7-WEEKDAY(DATE(Settings!$C$9,1,1),3),7)+77</f>
        <v/>
      </c>
      <c r="B35" s="7">
        <f>TEXT(A35,"dddd")</f>
        <v/>
      </c>
      <c r="C35" s="7">
        <f>TEXT(A35,"mmmm")</f>
        <v/>
      </c>
      <c r="D35" s="7" t="inlineStr">
        <is>
          <t>Instagram</t>
        </is>
      </c>
      <c r="E35" s="7" t="inlineStr">
        <is>
          <t>Offer / promo</t>
        </is>
      </c>
      <c r="F35" s="7" t="n"/>
      <c r="G35" s="7" t="n"/>
      <c r="H35" s="7" t="inlineStr">
        <is>
          <t>Idea</t>
        </is>
      </c>
      <c r="I35" s="7" t="n"/>
    </row>
    <row r="36">
      <c r="A36" s="8">
        <f>DATE(Settings!$C$9,1,1)+MOD(7-WEEKDAY(DATE(Settings!$C$9,1,1),3),7)+79</f>
        <v/>
      </c>
      <c r="B36" s="7">
        <f>TEXT(A36,"dddd")</f>
        <v/>
      </c>
      <c r="C36" s="7">
        <f>TEXT(A36,"mmmm")</f>
        <v/>
      </c>
      <c r="D36" s="7" t="inlineStr">
        <is>
          <t>Facebook</t>
        </is>
      </c>
      <c r="E36" s="7" t="inlineStr">
        <is>
          <t>Personal story</t>
        </is>
      </c>
      <c r="F36" s="7" t="n"/>
      <c r="G36" s="7" t="n"/>
      <c r="H36" s="7" t="inlineStr">
        <is>
          <t>Idea</t>
        </is>
      </c>
      <c r="I36" s="7" t="n"/>
    </row>
    <row r="37">
      <c r="A37" s="8">
        <f>DATE(Settings!$C$9,1,1)+MOD(7-WEEKDAY(DATE(Settings!$C$9,1,1),3),7)+81</f>
        <v/>
      </c>
      <c r="B37" s="7">
        <f>TEXT(A37,"dddd")</f>
        <v/>
      </c>
      <c r="C37" s="7">
        <f>TEXT(A37,"mmmm")</f>
        <v/>
      </c>
      <c r="D37" s="7" t="inlineStr">
        <is>
          <t>Instagram</t>
        </is>
      </c>
      <c r="E37" s="7" t="inlineStr">
        <is>
          <t>Engage / community</t>
        </is>
      </c>
      <c r="F37" s="7" t="n"/>
      <c r="G37" s="7" t="n"/>
      <c r="H37" s="7" t="inlineStr">
        <is>
          <t>Idea</t>
        </is>
      </c>
      <c r="I37" s="7" t="n"/>
    </row>
    <row r="38">
      <c r="A38" s="8">
        <f>DATE(Settings!$C$9,1,1)+MOD(7-WEEKDAY(DATE(Settings!$C$9,1,1),3),7)+84</f>
        <v/>
      </c>
      <c r="B38" s="7">
        <f>TEXT(A38,"dddd")</f>
        <v/>
      </c>
      <c r="C38" s="7">
        <f>TEXT(A38,"mmmm")</f>
        <v/>
      </c>
      <c r="D38" s="7" t="inlineStr">
        <is>
          <t>Instagram</t>
        </is>
      </c>
      <c r="E38" s="7" t="inlineStr">
        <is>
          <t>Educate</t>
        </is>
      </c>
      <c r="F38" s="7" t="n"/>
      <c r="G38" s="7" t="n"/>
      <c r="H38" s="7" t="inlineStr">
        <is>
          <t>Idea</t>
        </is>
      </c>
      <c r="I38" s="7" t="n"/>
    </row>
    <row r="39">
      <c r="A39" s="8">
        <f>DATE(Settings!$C$9,1,1)+MOD(7-WEEKDAY(DATE(Settings!$C$9,1,1),3),7)+86</f>
        <v/>
      </c>
      <c r="B39" s="7">
        <f>TEXT(A39,"dddd")</f>
        <v/>
      </c>
      <c r="C39" s="7">
        <f>TEXT(A39,"mmmm")</f>
        <v/>
      </c>
      <c r="D39" s="7" t="inlineStr">
        <is>
          <t>Facebook</t>
        </is>
      </c>
      <c r="E39" s="7" t="inlineStr">
        <is>
          <t>Behind the scenes</t>
        </is>
      </c>
      <c r="F39" s="7" t="n"/>
      <c r="G39" s="7" t="n"/>
      <c r="H39" s="7" t="inlineStr">
        <is>
          <t>Idea</t>
        </is>
      </c>
      <c r="I39" s="7" t="n"/>
    </row>
    <row r="40">
      <c r="A40" s="8">
        <f>DATE(Settings!$C$9,1,1)+MOD(7-WEEKDAY(DATE(Settings!$C$9,1,1),3),7)+88</f>
        <v/>
      </c>
      <c r="B40" s="7">
        <f>TEXT(A40,"dddd")</f>
        <v/>
      </c>
      <c r="C40" s="7">
        <f>TEXT(A40,"mmmm")</f>
        <v/>
      </c>
      <c r="D40" s="7" t="inlineStr">
        <is>
          <t>Instagram</t>
        </is>
      </c>
      <c r="E40" s="7" t="inlineStr">
        <is>
          <t>Social proof</t>
        </is>
      </c>
      <c r="F40" s="7" t="n"/>
      <c r="G40" s="7" t="n"/>
      <c r="H40" s="7" t="inlineStr">
        <is>
          <t>Idea</t>
        </is>
      </c>
      <c r="I40" s="7" t="n"/>
    </row>
    <row r="41">
      <c r="A41" s="8">
        <f>DATE(Settings!$C$9,1,1)+MOD(7-WEEKDAY(DATE(Settings!$C$9,1,1),3),7)+91</f>
        <v/>
      </c>
      <c r="B41" s="7">
        <f>TEXT(A41,"dddd")</f>
        <v/>
      </c>
      <c r="C41" s="7">
        <f>TEXT(A41,"mmmm")</f>
        <v/>
      </c>
      <c r="D41" s="7" t="inlineStr">
        <is>
          <t>Instagram</t>
        </is>
      </c>
      <c r="E41" s="7" t="inlineStr">
        <is>
          <t>Offer / promo</t>
        </is>
      </c>
      <c r="F41" s="7" t="n"/>
      <c r="G41" s="7" t="n"/>
      <c r="H41" s="7" t="inlineStr">
        <is>
          <t>Idea</t>
        </is>
      </c>
      <c r="I41" s="7" t="n"/>
    </row>
    <row r="42">
      <c r="A42" s="8">
        <f>DATE(Settings!$C$9,1,1)+MOD(7-WEEKDAY(DATE(Settings!$C$9,1,1),3),7)+93</f>
        <v/>
      </c>
      <c r="B42" s="7">
        <f>TEXT(A42,"dddd")</f>
        <v/>
      </c>
      <c r="C42" s="7">
        <f>TEXT(A42,"mmmm")</f>
        <v/>
      </c>
      <c r="D42" s="7" t="inlineStr">
        <is>
          <t>Facebook</t>
        </is>
      </c>
      <c r="E42" s="7" t="inlineStr">
        <is>
          <t>Personal story</t>
        </is>
      </c>
      <c r="F42" s="7" t="n"/>
      <c r="G42" s="7" t="n"/>
      <c r="H42" s="7" t="inlineStr">
        <is>
          <t>Idea</t>
        </is>
      </c>
      <c r="I42" s="7" t="n"/>
    </row>
    <row r="43">
      <c r="A43" s="8">
        <f>DATE(Settings!$C$9,1,1)+MOD(7-WEEKDAY(DATE(Settings!$C$9,1,1),3),7)+95</f>
        <v/>
      </c>
      <c r="B43" s="7">
        <f>TEXT(A43,"dddd")</f>
        <v/>
      </c>
      <c r="C43" s="7">
        <f>TEXT(A43,"mmmm")</f>
        <v/>
      </c>
      <c r="D43" s="7" t="inlineStr">
        <is>
          <t>Instagram</t>
        </is>
      </c>
      <c r="E43" s="7" t="inlineStr">
        <is>
          <t>Engage / community</t>
        </is>
      </c>
      <c r="F43" s="7" t="n"/>
      <c r="G43" s="7" t="n"/>
      <c r="H43" s="7" t="inlineStr">
        <is>
          <t>Idea</t>
        </is>
      </c>
      <c r="I43" s="7" t="n"/>
    </row>
    <row r="44">
      <c r="A44" s="8">
        <f>DATE(Settings!$C$9,1,1)+MOD(7-WEEKDAY(DATE(Settings!$C$9,1,1),3),7)+98</f>
        <v/>
      </c>
      <c r="B44" s="7">
        <f>TEXT(A44,"dddd")</f>
        <v/>
      </c>
      <c r="C44" s="7">
        <f>TEXT(A44,"mmmm")</f>
        <v/>
      </c>
      <c r="D44" s="7" t="inlineStr">
        <is>
          <t>Instagram</t>
        </is>
      </c>
      <c r="E44" s="7" t="inlineStr">
        <is>
          <t>Educate</t>
        </is>
      </c>
      <c r="F44" s="7" t="n"/>
      <c r="G44" s="7" t="n"/>
      <c r="H44" s="7" t="inlineStr">
        <is>
          <t>Idea</t>
        </is>
      </c>
      <c r="I44" s="7" t="n"/>
    </row>
    <row r="45">
      <c r="A45" s="8">
        <f>DATE(Settings!$C$9,1,1)+MOD(7-WEEKDAY(DATE(Settings!$C$9,1,1),3),7)+100</f>
        <v/>
      </c>
      <c r="B45" s="7">
        <f>TEXT(A45,"dddd")</f>
        <v/>
      </c>
      <c r="C45" s="7">
        <f>TEXT(A45,"mmmm")</f>
        <v/>
      </c>
      <c r="D45" s="7" t="inlineStr">
        <is>
          <t>Facebook</t>
        </is>
      </c>
      <c r="E45" s="7" t="inlineStr">
        <is>
          <t>Behind the scenes</t>
        </is>
      </c>
      <c r="F45" s="7" t="n"/>
      <c r="G45" s="7" t="n"/>
      <c r="H45" s="7" t="inlineStr">
        <is>
          <t>Idea</t>
        </is>
      </c>
      <c r="I45" s="7" t="n"/>
    </row>
    <row r="46">
      <c r="A46" s="8">
        <f>DATE(Settings!$C$9,1,1)+MOD(7-WEEKDAY(DATE(Settings!$C$9,1,1),3),7)+102</f>
        <v/>
      </c>
      <c r="B46" s="7">
        <f>TEXT(A46,"dddd")</f>
        <v/>
      </c>
      <c r="C46" s="7">
        <f>TEXT(A46,"mmmm")</f>
        <v/>
      </c>
      <c r="D46" s="7" t="inlineStr">
        <is>
          <t>Instagram</t>
        </is>
      </c>
      <c r="E46" s="7" t="inlineStr">
        <is>
          <t>Social proof</t>
        </is>
      </c>
      <c r="F46" s="7" t="n"/>
      <c r="G46" s="7" t="n"/>
      <c r="H46" s="7" t="inlineStr">
        <is>
          <t>Idea</t>
        </is>
      </c>
      <c r="I46" s="7" t="n"/>
    </row>
    <row r="47">
      <c r="A47" s="8">
        <f>DATE(Settings!$C$9,1,1)+MOD(7-WEEKDAY(DATE(Settings!$C$9,1,1),3),7)+105</f>
        <v/>
      </c>
      <c r="B47" s="7">
        <f>TEXT(A47,"dddd")</f>
        <v/>
      </c>
      <c r="C47" s="7">
        <f>TEXT(A47,"mmmm")</f>
        <v/>
      </c>
      <c r="D47" s="7" t="inlineStr">
        <is>
          <t>Instagram</t>
        </is>
      </c>
      <c r="E47" s="7" t="inlineStr">
        <is>
          <t>Offer / promo</t>
        </is>
      </c>
      <c r="F47" s="7" t="n"/>
      <c r="G47" s="7" t="n"/>
      <c r="H47" s="7" t="inlineStr">
        <is>
          <t>Idea</t>
        </is>
      </c>
      <c r="I47" s="7" t="n"/>
    </row>
    <row r="48">
      <c r="A48" s="8">
        <f>DATE(Settings!$C$9,1,1)+MOD(7-WEEKDAY(DATE(Settings!$C$9,1,1),3),7)+107</f>
        <v/>
      </c>
      <c r="B48" s="7">
        <f>TEXT(A48,"dddd")</f>
        <v/>
      </c>
      <c r="C48" s="7">
        <f>TEXT(A48,"mmmm")</f>
        <v/>
      </c>
      <c r="D48" s="7" t="inlineStr">
        <is>
          <t>Facebook</t>
        </is>
      </c>
      <c r="E48" s="7" t="inlineStr">
        <is>
          <t>Personal story</t>
        </is>
      </c>
      <c r="F48" s="7" t="n"/>
      <c r="G48" s="7" t="n"/>
      <c r="H48" s="7" t="inlineStr">
        <is>
          <t>Idea</t>
        </is>
      </c>
      <c r="I48" s="7" t="n"/>
    </row>
    <row r="49">
      <c r="A49" s="8">
        <f>DATE(Settings!$C$9,1,1)+MOD(7-WEEKDAY(DATE(Settings!$C$9,1,1),3),7)+109</f>
        <v/>
      </c>
      <c r="B49" s="7">
        <f>TEXT(A49,"dddd")</f>
        <v/>
      </c>
      <c r="C49" s="7">
        <f>TEXT(A49,"mmmm")</f>
        <v/>
      </c>
      <c r="D49" s="7" t="inlineStr">
        <is>
          <t>Instagram</t>
        </is>
      </c>
      <c r="E49" s="7" t="inlineStr">
        <is>
          <t>Engage / community</t>
        </is>
      </c>
      <c r="F49" s="7" t="n"/>
      <c r="G49" s="7" t="n"/>
      <c r="H49" s="7" t="inlineStr">
        <is>
          <t>Idea</t>
        </is>
      </c>
      <c r="I49" s="7" t="n"/>
    </row>
    <row r="50">
      <c r="A50" s="8">
        <f>DATE(Settings!$C$9,1,1)+MOD(7-WEEKDAY(DATE(Settings!$C$9,1,1),3),7)+112</f>
        <v/>
      </c>
      <c r="B50" s="7">
        <f>TEXT(A50,"dddd")</f>
        <v/>
      </c>
      <c r="C50" s="7">
        <f>TEXT(A50,"mmmm")</f>
        <v/>
      </c>
      <c r="D50" s="7" t="inlineStr">
        <is>
          <t>Instagram</t>
        </is>
      </c>
      <c r="E50" s="7" t="inlineStr">
        <is>
          <t>Educate</t>
        </is>
      </c>
      <c r="F50" s="7" t="n"/>
      <c r="G50" s="7" t="n"/>
      <c r="H50" s="7" t="inlineStr">
        <is>
          <t>Idea</t>
        </is>
      </c>
      <c r="I50" s="7" t="n"/>
    </row>
    <row r="51">
      <c r="A51" s="8">
        <f>DATE(Settings!$C$9,1,1)+MOD(7-WEEKDAY(DATE(Settings!$C$9,1,1),3),7)+114</f>
        <v/>
      </c>
      <c r="B51" s="7">
        <f>TEXT(A51,"dddd")</f>
        <v/>
      </c>
      <c r="C51" s="7">
        <f>TEXT(A51,"mmmm")</f>
        <v/>
      </c>
      <c r="D51" s="7" t="inlineStr">
        <is>
          <t>Facebook</t>
        </is>
      </c>
      <c r="E51" s="7" t="inlineStr">
        <is>
          <t>Behind the scenes</t>
        </is>
      </c>
      <c r="F51" s="7" t="n"/>
      <c r="G51" s="7" t="n"/>
      <c r="H51" s="7" t="inlineStr">
        <is>
          <t>Idea</t>
        </is>
      </c>
      <c r="I51" s="7" t="n"/>
    </row>
    <row r="52">
      <c r="A52" s="8">
        <f>DATE(Settings!$C$9,1,1)+MOD(7-WEEKDAY(DATE(Settings!$C$9,1,1),3),7)+116</f>
        <v/>
      </c>
      <c r="B52" s="7">
        <f>TEXT(A52,"dddd")</f>
        <v/>
      </c>
      <c r="C52" s="7">
        <f>TEXT(A52,"mmmm")</f>
        <v/>
      </c>
      <c r="D52" s="7" t="inlineStr">
        <is>
          <t>Instagram</t>
        </is>
      </c>
      <c r="E52" s="7" t="inlineStr">
        <is>
          <t>Social proof</t>
        </is>
      </c>
      <c r="F52" s="7" t="n"/>
      <c r="G52" s="7" t="n"/>
      <c r="H52" s="7" t="inlineStr">
        <is>
          <t>Idea</t>
        </is>
      </c>
      <c r="I52" s="7" t="n"/>
    </row>
    <row r="53">
      <c r="A53" s="8">
        <f>DATE(Settings!$C$9,1,1)+MOD(7-WEEKDAY(DATE(Settings!$C$9,1,1),3),7)+119</f>
        <v/>
      </c>
      <c r="B53" s="7">
        <f>TEXT(A53,"dddd")</f>
        <v/>
      </c>
      <c r="C53" s="7">
        <f>TEXT(A53,"mmmm")</f>
        <v/>
      </c>
      <c r="D53" s="7" t="inlineStr">
        <is>
          <t>Instagram</t>
        </is>
      </c>
      <c r="E53" s="7" t="inlineStr">
        <is>
          <t>Offer / promo</t>
        </is>
      </c>
      <c r="F53" s="7" t="n"/>
      <c r="G53" s="7" t="n"/>
      <c r="H53" s="7" t="inlineStr">
        <is>
          <t>Idea</t>
        </is>
      </c>
      <c r="I53" s="7" t="n"/>
    </row>
    <row r="54">
      <c r="A54" s="8">
        <f>DATE(Settings!$C$9,1,1)+MOD(7-WEEKDAY(DATE(Settings!$C$9,1,1),3),7)+121</f>
        <v/>
      </c>
      <c r="B54" s="7">
        <f>TEXT(A54,"dddd")</f>
        <v/>
      </c>
      <c r="C54" s="7">
        <f>TEXT(A54,"mmmm")</f>
        <v/>
      </c>
      <c r="D54" s="7" t="inlineStr">
        <is>
          <t>Facebook</t>
        </is>
      </c>
      <c r="E54" s="7" t="inlineStr">
        <is>
          <t>Personal story</t>
        </is>
      </c>
      <c r="F54" s="7" t="n"/>
      <c r="G54" s="7" t="n"/>
      <c r="H54" s="7" t="inlineStr">
        <is>
          <t>Idea</t>
        </is>
      </c>
      <c r="I54" s="7" t="n"/>
    </row>
    <row r="55">
      <c r="A55" s="8">
        <f>DATE(Settings!$C$9,1,1)+MOD(7-WEEKDAY(DATE(Settings!$C$9,1,1),3),7)+123</f>
        <v/>
      </c>
      <c r="B55" s="7">
        <f>TEXT(A55,"dddd")</f>
        <v/>
      </c>
      <c r="C55" s="7">
        <f>TEXT(A55,"mmmm")</f>
        <v/>
      </c>
      <c r="D55" s="7" t="inlineStr">
        <is>
          <t>Instagram</t>
        </is>
      </c>
      <c r="E55" s="7" t="inlineStr">
        <is>
          <t>Engage / community</t>
        </is>
      </c>
      <c r="F55" s="7" t="n"/>
      <c r="G55" s="7" t="n"/>
      <c r="H55" s="7" t="inlineStr">
        <is>
          <t>Idea</t>
        </is>
      </c>
      <c r="I55" s="7" t="n"/>
    </row>
    <row r="56">
      <c r="A56" s="8">
        <f>DATE(Settings!$C$9,1,1)+MOD(7-WEEKDAY(DATE(Settings!$C$9,1,1),3),7)+126</f>
        <v/>
      </c>
      <c r="B56" s="7">
        <f>TEXT(A56,"dddd")</f>
        <v/>
      </c>
      <c r="C56" s="7">
        <f>TEXT(A56,"mmmm")</f>
        <v/>
      </c>
      <c r="D56" s="7" t="inlineStr">
        <is>
          <t>Instagram</t>
        </is>
      </c>
      <c r="E56" s="7" t="inlineStr">
        <is>
          <t>Educate</t>
        </is>
      </c>
      <c r="F56" s="7" t="n"/>
      <c r="G56" s="7" t="n"/>
      <c r="H56" s="7" t="inlineStr">
        <is>
          <t>Idea</t>
        </is>
      </c>
      <c r="I56" s="7" t="n"/>
    </row>
    <row r="57">
      <c r="A57" s="8">
        <f>DATE(Settings!$C$9,1,1)+MOD(7-WEEKDAY(DATE(Settings!$C$9,1,1),3),7)+128</f>
        <v/>
      </c>
      <c r="B57" s="7">
        <f>TEXT(A57,"dddd")</f>
        <v/>
      </c>
      <c r="C57" s="7">
        <f>TEXT(A57,"mmmm")</f>
        <v/>
      </c>
      <c r="D57" s="7" t="inlineStr">
        <is>
          <t>Facebook</t>
        </is>
      </c>
      <c r="E57" s="7" t="inlineStr">
        <is>
          <t>Behind the scenes</t>
        </is>
      </c>
      <c r="F57" s="7" t="n"/>
      <c r="G57" s="7" t="n"/>
      <c r="H57" s="7" t="inlineStr">
        <is>
          <t>Idea</t>
        </is>
      </c>
      <c r="I57" s="7" t="n"/>
    </row>
    <row r="58">
      <c r="A58" s="8">
        <f>DATE(Settings!$C$9,1,1)+MOD(7-WEEKDAY(DATE(Settings!$C$9,1,1),3),7)+130</f>
        <v/>
      </c>
      <c r="B58" s="7">
        <f>TEXT(A58,"dddd")</f>
        <v/>
      </c>
      <c r="C58" s="7">
        <f>TEXT(A58,"mmmm")</f>
        <v/>
      </c>
      <c r="D58" s="7" t="inlineStr">
        <is>
          <t>Instagram</t>
        </is>
      </c>
      <c r="E58" s="7" t="inlineStr">
        <is>
          <t>Social proof</t>
        </is>
      </c>
      <c r="F58" s="7" t="n"/>
      <c r="G58" s="7" t="n"/>
      <c r="H58" s="7" t="inlineStr">
        <is>
          <t>Idea</t>
        </is>
      </c>
      <c r="I58" s="7" t="n"/>
    </row>
    <row r="59">
      <c r="A59" s="8">
        <f>DATE(Settings!$C$9,1,1)+MOD(7-WEEKDAY(DATE(Settings!$C$9,1,1),3),7)+133</f>
        <v/>
      </c>
      <c r="B59" s="7">
        <f>TEXT(A59,"dddd")</f>
        <v/>
      </c>
      <c r="C59" s="7">
        <f>TEXT(A59,"mmmm")</f>
        <v/>
      </c>
      <c r="D59" s="7" t="inlineStr">
        <is>
          <t>Instagram</t>
        </is>
      </c>
      <c r="E59" s="7" t="inlineStr">
        <is>
          <t>Offer / promo</t>
        </is>
      </c>
      <c r="F59" s="7" t="n"/>
      <c r="G59" s="7" t="n"/>
      <c r="H59" s="7" t="inlineStr">
        <is>
          <t>Idea</t>
        </is>
      </c>
      <c r="I59" s="7" t="n"/>
    </row>
    <row r="60">
      <c r="A60" s="8">
        <f>DATE(Settings!$C$9,1,1)+MOD(7-WEEKDAY(DATE(Settings!$C$9,1,1),3),7)+135</f>
        <v/>
      </c>
      <c r="B60" s="7">
        <f>TEXT(A60,"dddd")</f>
        <v/>
      </c>
      <c r="C60" s="7">
        <f>TEXT(A60,"mmmm")</f>
        <v/>
      </c>
      <c r="D60" s="7" t="inlineStr">
        <is>
          <t>Facebook</t>
        </is>
      </c>
      <c r="E60" s="7" t="inlineStr">
        <is>
          <t>Personal story</t>
        </is>
      </c>
      <c r="F60" s="7" t="n"/>
      <c r="G60" s="7" t="n"/>
      <c r="H60" s="7" t="inlineStr">
        <is>
          <t>Idea</t>
        </is>
      </c>
      <c r="I60" s="7" t="n"/>
    </row>
    <row r="61">
      <c r="A61" s="8">
        <f>DATE(Settings!$C$9,1,1)+MOD(7-WEEKDAY(DATE(Settings!$C$9,1,1),3),7)+137</f>
        <v/>
      </c>
      <c r="B61" s="7">
        <f>TEXT(A61,"dddd")</f>
        <v/>
      </c>
      <c r="C61" s="7">
        <f>TEXT(A61,"mmmm")</f>
        <v/>
      </c>
      <c r="D61" s="7" t="inlineStr">
        <is>
          <t>Instagram</t>
        </is>
      </c>
      <c r="E61" s="7" t="inlineStr">
        <is>
          <t>Engage / community</t>
        </is>
      </c>
      <c r="F61" s="7" t="n"/>
      <c r="G61" s="7" t="n"/>
      <c r="H61" s="7" t="inlineStr">
        <is>
          <t>Idea</t>
        </is>
      </c>
      <c r="I61" s="7" t="n"/>
    </row>
    <row r="62">
      <c r="A62" s="8">
        <f>DATE(Settings!$C$9,1,1)+MOD(7-WEEKDAY(DATE(Settings!$C$9,1,1),3),7)+140</f>
        <v/>
      </c>
      <c r="B62" s="7">
        <f>TEXT(A62,"dddd")</f>
        <v/>
      </c>
      <c r="C62" s="7">
        <f>TEXT(A62,"mmmm")</f>
        <v/>
      </c>
      <c r="D62" s="7" t="inlineStr">
        <is>
          <t>Instagram</t>
        </is>
      </c>
      <c r="E62" s="7" t="inlineStr">
        <is>
          <t>Educate</t>
        </is>
      </c>
      <c r="F62" s="7" t="n"/>
      <c r="G62" s="7" t="n"/>
      <c r="H62" s="7" t="inlineStr">
        <is>
          <t>Idea</t>
        </is>
      </c>
      <c r="I62" s="7" t="n"/>
    </row>
    <row r="63">
      <c r="A63" s="8">
        <f>DATE(Settings!$C$9,1,1)+MOD(7-WEEKDAY(DATE(Settings!$C$9,1,1),3),7)+142</f>
        <v/>
      </c>
      <c r="B63" s="7">
        <f>TEXT(A63,"dddd")</f>
        <v/>
      </c>
      <c r="C63" s="7">
        <f>TEXT(A63,"mmmm")</f>
        <v/>
      </c>
      <c r="D63" s="7" t="inlineStr">
        <is>
          <t>Facebook</t>
        </is>
      </c>
      <c r="E63" s="7" t="inlineStr">
        <is>
          <t>Behind the scenes</t>
        </is>
      </c>
      <c r="F63" s="7" t="n"/>
      <c r="G63" s="7" t="n"/>
      <c r="H63" s="7" t="inlineStr">
        <is>
          <t>Idea</t>
        </is>
      </c>
      <c r="I63" s="7" t="n"/>
    </row>
    <row r="64">
      <c r="A64" s="8">
        <f>DATE(Settings!$C$9,1,1)+MOD(7-WEEKDAY(DATE(Settings!$C$9,1,1),3),7)+144</f>
        <v/>
      </c>
      <c r="B64" s="7">
        <f>TEXT(A64,"dddd")</f>
        <v/>
      </c>
      <c r="C64" s="7">
        <f>TEXT(A64,"mmmm")</f>
        <v/>
      </c>
      <c r="D64" s="7" t="inlineStr">
        <is>
          <t>Instagram</t>
        </is>
      </c>
      <c r="E64" s="7" t="inlineStr">
        <is>
          <t>Social proof</t>
        </is>
      </c>
      <c r="F64" s="7" t="n"/>
      <c r="G64" s="7" t="n"/>
      <c r="H64" s="7" t="inlineStr">
        <is>
          <t>Idea</t>
        </is>
      </c>
      <c r="I64" s="7" t="n"/>
    </row>
    <row r="65">
      <c r="A65" s="8">
        <f>DATE(Settings!$C$9,1,1)+MOD(7-WEEKDAY(DATE(Settings!$C$9,1,1),3),7)+147</f>
        <v/>
      </c>
      <c r="B65" s="7">
        <f>TEXT(A65,"dddd")</f>
        <v/>
      </c>
      <c r="C65" s="7">
        <f>TEXT(A65,"mmmm")</f>
        <v/>
      </c>
      <c r="D65" s="7" t="inlineStr">
        <is>
          <t>Instagram</t>
        </is>
      </c>
      <c r="E65" s="7" t="inlineStr">
        <is>
          <t>Offer / promo</t>
        </is>
      </c>
      <c r="F65" s="7" t="n"/>
      <c r="G65" s="7" t="n"/>
      <c r="H65" s="7" t="inlineStr">
        <is>
          <t>Idea</t>
        </is>
      </c>
      <c r="I65" s="7" t="n"/>
    </row>
    <row r="66">
      <c r="A66" s="8">
        <f>DATE(Settings!$C$9,1,1)+MOD(7-WEEKDAY(DATE(Settings!$C$9,1,1),3),7)+149</f>
        <v/>
      </c>
      <c r="B66" s="7">
        <f>TEXT(A66,"dddd")</f>
        <v/>
      </c>
      <c r="C66" s="7">
        <f>TEXT(A66,"mmmm")</f>
        <v/>
      </c>
      <c r="D66" s="7" t="inlineStr">
        <is>
          <t>Facebook</t>
        </is>
      </c>
      <c r="E66" s="7" t="inlineStr">
        <is>
          <t>Personal story</t>
        </is>
      </c>
      <c r="F66" s="7" t="n"/>
      <c r="G66" s="7" t="n"/>
      <c r="H66" s="7" t="inlineStr">
        <is>
          <t>Idea</t>
        </is>
      </c>
      <c r="I66" s="7" t="n"/>
    </row>
    <row r="67">
      <c r="A67" s="8">
        <f>DATE(Settings!$C$9,1,1)+MOD(7-WEEKDAY(DATE(Settings!$C$9,1,1),3),7)+151</f>
        <v/>
      </c>
      <c r="B67" s="7">
        <f>TEXT(A67,"dddd")</f>
        <v/>
      </c>
      <c r="C67" s="7">
        <f>TEXT(A67,"mmmm")</f>
        <v/>
      </c>
      <c r="D67" s="7" t="inlineStr">
        <is>
          <t>Instagram</t>
        </is>
      </c>
      <c r="E67" s="7" t="inlineStr">
        <is>
          <t>Engage / community</t>
        </is>
      </c>
      <c r="F67" s="7" t="n"/>
      <c r="G67" s="7" t="n"/>
      <c r="H67" s="7" t="inlineStr">
        <is>
          <t>Idea</t>
        </is>
      </c>
      <c r="I67" s="7" t="n"/>
    </row>
    <row r="68">
      <c r="A68" s="8">
        <f>DATE(Settings!$C$9,1,1)+MOD(7-WEEKDAY(DATE(Settings!$C$9,1,1),3),7)+154</f>
        <v/>
      </c>
      <c r="B68" s="7">
        <f>TEXT(A68,"dddd")</f>
        <v/>
      </c>
      <c r="C68" s="7">
        <f>TEXT(A68,"mmmm")</f>
        <v/>
      </c>
      <c r="D68" s="7" t="inlineStr">
        <is>
          <t>Instagram</t>
        </is>
      </c>
      <c r="E68" s="7" t="inlineStr">
        <is>
          <t>Educate</t>
        </is>
      </c>
      <c r="F68" s="7" t="n"/>
      <c r="G68" s="7" t="n"/>
      <c r="H68" s="7" t="inlineStr">
        <is>
          <t>Idea</t>
        </is>
      </c>
      <c r="I68" s="7" t="n"/>
    </row>
    <row r="69">
      <c r="A69" s="8">
        <f>DATE(Settings!$C$9,1,1)+MOD(7-WEEKDAY(DATE(Settings!$C$9,1,1),3),7)+156</f>
        <v/>
      </c>
      <c r="B69" s="7">
        <f>TEXT(A69,"dddd")</f>
        <v/>
      </c>
      <c r="C69" s="7">
        <f>TEXT(A69,"mmmm")</f>
        <v/>
      </c>
      <c r="D69" s="7" t="inlineStr">
        <is>
          <t>Facebook</t>
        </is>
      </c>
      <c r="E69" s="7" t="inlineStr">
        <is>
          <t>Behind the scenes</t>
        </is>
      </c>
      <c r="F69" s="7" t="n"/>
      <c r="G69" s="7" t="n"/>
      <c r="H69" s="7" t="inlineStr">
        <is>
          <t>Idea</t>
        </is>
      </c>
      <c r="I69" s="7" t="n"/>
    </row>
    <row r="70">
      <c r="A70" s="8">
        <f>DATE(Settings!$C$9,1,1)+MOD(7-WEEKDAY(DATE(Settings!$C$9,1,1),3),7)+158</f>
        <v/>
      </c>
      <c r="B70" s="7">
        <f>TEXT(A70,"dddd")</f>
        <v/>
      </c>
      <c r="C70" s="7">
        <f>TEXT(A70,"mmmm")</f>
        <v/>
      </c>
      <c r="D70" s="7" t="inlineStr">
        <is>
          <t>Instagram</t>
        </is>
      </c>
      <c r="E70" s="7" t="inlineStr">
        <is>
          <t>Social proof</t>
        </is>
      </c>
      <c r="F70" s="7" t="n"/>
      <c r="G70" s="7" t="n"/>
      <c r="H70" s="7" t="inlineStr">
        <is>
          <t>Idea</t>
        </is>
      </c>
      <c r="I70" s="7" t="n"/>
    </row>
    <row r="71">
      <c r="A71" s="8">
        <f>DATE(Settings!$C$9,1,1)+MOD(7-WEEKDAY(DATE(Settings!$C$9,1,1),3),7)+161</f>
        <v/>
      </c>
      <c r="B71" s="7">
        <f>TEXT(A71,"dddd")</f>
        <v/>
      </c>
      <c r="C71" s="7">
        <f>TEXT(A71,"mmmm")</f>
        <v/>
      </c>
      <c r="D71" s="7" t="inlineStr">
        <is>
          <t>Instagram</t>
        </is>
      </c>
      <c r="E71" s="7" t="inlineStr">
        <is>
          <t>Offer / promo</t>
        </is>
      </c>
      <c r="F71" s="7" t="n"/>
      <c r="G71" s="7" t="n"/>
      <c r="H71" s="7" t="inlineStr">
        <is>
          <t>Idea</t>
        </is>
      </c>
      <c r="I71" s="7" t="n"/>
    </row>
    <row r="72">
      <c r="A72" s="8">
        <f>DATE(Settings!$C$9,1,1)+MOD(7-WEEKDAY(DATE(Settings!$C$9,1,1),3),7)+163</f>
        <v/>
      </c>
      <c r="B72" s="7">
        <f>TEXT(A72,"dddd")</f>
        <v/>
      </c>
      <c r="C72" s="7">
        <f>TEXT(A72,"mmmm")</f>
        <v/>
      </c>
      <c r="D72" s="7" t="inlineStr">
        <is>
          <t>Facebook</t>
        </is>
      </c>
      <c r="E72" s="7" t="inlineStr">
        <is>
          <t>Personal story</t>
        </is>
      </c>
      <c r="F72" s="7" t="n"/>
      <c r="G72" s="7" t="n"/>
      <c r="H72" s="7" t="inlineStr">
        <is>
          <t>Idea</t>
        </is>
      </c>
      <c r="I72" s="7" t="n"/>
    </row>
    <row r="73">
      <c r="A73" s="8">
        <f>DATE(Settings!$C$9,1,1)+MOD(7-WEEKDAY(DATE(Settings!$C$9,1,1),3),7)+165</f>
        <v/>
      </c>
      <c r="B73" s="7">
        <f>TEXT(A73,"dddd")</f>
        <v/>
      </c>
      <c r="C73" s="7">
        <f>TEXT(A73,"mmmm")</f>
        <v/>
      </c>
      <c r="D73" s="7" t="inlineStr">
        <is>
          <t>Instagram</t>
        </is>
      </c>
      <c r="E73" s="7" t="inlineStr">
        <is>
          <t>Engage / community</t>
        </is>
      </c>
      <c r="F73" s="7" t="n"/>
      <c r="G73" s="7" t="n"/>
      <c r="H73" s="7" t="inlineStr">
        <is>
          <t>Idea</t>
        </is>
      </c>
      <c r="I73" s="7" t="n"/>
    </row>
    <row r="74">
      <c r="A74" s="8">
        <f>DATE(Settings!$C$9,1,1)+MOD(7-WEEKDAY(DATE(Settings!$C$9,1,1),3),7)+168</f>
        <v/>
      </c>
      <c r="B74" s="7">
        <f>TEXT(A74,"dddd")</f>
        <v/>
      </c>
      <c r="C74" s="7">
        <f>TEXT(A74,"mmmm")</f>
        <v/>
      </c>
      <c r="D74" s="7" t="inlineStr">
        <is>
          <t>Instagram</t>
        </is>
      </c>
      <c r="E74" s="7" t="inlineStr">
        <is>
          <t>Educate</t>
        </is>
      </c>
      <c r="F74" s="7" t="n"/>
      <c r="G74" s="7" t="n"/>
      <c r="H74" s="7" t="inlineStr">
        <is>
          <t>Idea</t>
        </is>
      </c>
      <c r="I74" s="7" t="n"/>
    </row>
    <row r="75">
      <c r="A75" s="8">
        <f>DATE(Settings!$C$9,1,1)+MOD(7-WEEKDAY(DATE(Settings!$C$9,1,1),3),7)+170</f>
        <v/>
      </c>
      <c r="B75" s="7">
        <f>TEXT(A75,"dddd")</f>
        <v/>
      </c>
      <c r="C75" s="7">
        <f>TEXT(A75,"mmmm")</f>
        <v/>
      </c>
      <c r="D75" s="7" t="inlineStr">
        <is>
          <t>Facebook</t>
        </is>
      </c>
      <c r="E75" s="7" t="inlineStr">
        <is>
          <t>Behind the scenes</t>
        </is>
      </c>
      <c r="F75" s="7" t="n"/>
      <c r="G75" s="7" t="n"/>
      <c r="H75" s="7" t="inlineStr">
        <is>
          <t>Idea</t>
        </is>
      </c>
      <c r="I75" s="7" t="n"/>
    </row>
    <row r="76">
      <c r="A76" s="8">
        <f>DATE(Settings!$C$9,1,1)+MOD(7-WEEKDAY(DATE(Settings!$C$9,1,1),3),7)+172</f>
        <v/>
      </c>
      <c r="B76" s="7">
        <f>TEXT(A76,"dddd")</f>
        <v/>
      </c>
      <c r="C76" s="7">
        <f>TEXT(A76,"mmmm")</f>
        <v/>
      </c>
      <c r="D76" s="7" t="inlineStr">
        <is>
          <t>Instagram</t>
        </is>
      </c>
      <c r="E76" s="7" t="inlineStr">
        <is>
          <t>Social proof</t>
        </is>
      </c>
      <c r="F76" s="7" t="n"/>
      <c r="G76" s="7" t="n"/>
      <c r="H76" s="7" t="inlineStr">
        <is>
          <t>Idea</t>
        </is>
      </c>
      <c r="I76" s="7" t="n"/>
    </row>
    <row r="77">
      <c r="A77" s="8">
        <f>DATE(Settings!$C$9,1,1)+MOD(7-WEEKDAY(DATE(Settings!$C$9,1,1),3),7)+175</f>
        <v/>
      </c>
      <c r="B77" s="7">
        <f>TEXT(A77,"dddd")</f>
        <v/>
      </c>
      <c r="C77" s="7">
        <f>TEXT(A77,"mmmm")</f>
        <v/>
      </c>
      <c r="D77" s="7" t="inlineStr">
        <is>
          <t>Instagram</t>
        </is>
      </c>
      <c r="E77" s="7" t="inlineStr">
        <is>
          <t>Offer / promo</t>
        </is>
      </c>
      <c r="F77" s="7" t="n"/>
      <c r="G77" s="7" t="n"/>
      <c r="H77" s="7" t="inlineStr">
        <is>
          <t>Idea</t>
        </is>
      </c>
      <c r="I77" s="7" t="n"/>
    </row>
    <row r="78">
      <c r="A78" s="8">
        <f>DATE(Settings!$C$9,1,1)+MOD(7-WEEKDAY(DATE(Settings!$C$9,1,1),3),7)+177</f>
        <v/>
      </c>
      <c r="B78" s="7">
        <f>TEXT(A78,"dddd")</f>
        <v/>
      </c>
      <c r="C78" s="7">
        <f>TEXT(A78,"mmmm")</f>
        <v/>
      </c>
      <c r="D78" s="7" t="inlineStr">
        <is>
          <t>Facebook</t>
        </is>
      </c>
      <c r="E78" s="7" t="inlineStr">
        <is>
          <t>Personal story</t>
        </is>
      </c>
      <c r="F78" s="7" t="n"/>
      <c r="G78" s="7" t="n"/>
      <c r="H78" s="7" t="inlineStr">
        <is>
          <t>Idea</t>
        </is>
      </c>
      <c r="I78" s="7" t="n"/>
    </row>
    <row r="79">
      <c r="A79" s="8">
        <f>DATE(Settings!$C$9,1,1)+MOD(7-WEEKDAY(DATE(Settings!$C$9,1,1),3),7)+179</f>
        <v/>
      </c>
      <c r="B79" s="7">
        <f>TEXT(A79,"dddd")</f>
        <v/>
      </c>
      <c r="C79" s="7">
        <f>TEXT(A79,"mmmm")</f>
        <v/>
      </c>
      <c r="D79" s="7" t="inlineStr">
        <is>
          <t>Instagram</t>
        </is>
      </c>
      <c r="E79" s="7" t="inlineStr">
        <is>
          <t>Engage / community</t>
        </is>
      </c>
      <c r="F79" s="7" t="n"/>
      <c r="G79" s="7" t="n"/>
      <c r="H79" s="7" t="inlineStr">
        <is>
          <t>Idea</t>
        </is>
      </c>
      <c r="I79" s="7" t="n"/>
    </row>
    <row r="80">
      <c r="A80" s="8">
        <f>DATE(Settings!$C$9,1,1)+MOD(7-WEEKDAY(DATE(Settings!$C$9,1,1),3),7)+182</f>
        <v/>
      </c>
      <c r="B80" s="7">
        <f>TEXT(A80,"dddd")</f>
        <v/>
      </c>
      <c r="C80" s="7">
        <f>TEXT(A80,"mmmm")</f>
        <v/>
      </c>
      <c r="D80" s="7" t="inlineStr">
        <is>
          <t>Instagram</t>
        </is>
      </c>
      <c r="E80" s="7" t="inlineStr">
        <is>
          <t>Educate</t>
        </is>
      </c>
      <c r="F80" s="7" t="n"/>
      <c r="G80" s="7" t="n"/>
      <c r="H80" s="7" t="inlineStr">
        <is>
          <t>Idea</t>
        </is>
      </c>
      <c r="I80" s="7" t="n"/>
    </row>
    <row r="81">
      <c r="A81" s="8">
        <f>DATE(Settings!$C$9,1,1)+MOD(7-WEEKDAY(DATE(Settings!$C$9,1,1),3),7)+184</f>
        <v/>
      </c>
      <c r="B81" s="7">
        <f>TEXT(A81,"dddd")</f>
        <v/>
      </c>
      <c r="C81" s="7">
        <f>TEXT(A81,"mmmm")</f>
        <v/>
      </c>
      <c r="D81" s="7" t="inlineStr">
        <is>
          <t>Facebook</t>
        </is>
      </c>
      <c r="E81" s="7" t="inlineStr">
        <is>
          <t>Behind the scenes</t>
        </is>
      </c>
      <c r="F81" s="7" t="n"/>
      <c r="G81" s="7" t="n"/>
      <c r="H81" s="7" t="inlineStr">
        <is>
          <t>Idea</t>
        </is>
      </c>
      <c r="I81" s="7" t="n"/>
    </row>
    <row r="82">
      <c r="A82" s="8">
        <f>DATE(Settings!$C$9,1,1)+MOD(7-WEEKDAY(DATE(Settings!$C$9,1,1),3),7)+186</f>
        <v/>
      </c>
      <c r="B82" s="7">
        <f>TEXT(A82,"dddd")</f>
        <v/>
      </c>
      <c r="C82" s="7">
        <f>TEXT(A82,"mmmm")</f>
        <v/>
      </c>
      <c r="D82" s="7" t="inlineStr">
        <is>
          <t>Instagram</t>
        </is>
      </c>
      <c r="E82" s="7" t="inlineStr">
        <is>
          <t>Social proof</t>
        </is>
      </c>
      <c r="F82" s="7" t="n"/>
      <c r="G82" s="7" t="n"/>
      <c r="H82" s="7" t="inlineStr">
        <is>
          <t>Idea</t>
        </is>
      </c>
      <c r="I82" s="7" t="n"/>
    </row>
    <row r="83">
      <c r="A83" s="8">
        <f>DATE(Settings!$C$9,1,1)+MOD(7-WEEKDAY(DATE(Settings!$C$9,1,1),3),7)+189</f>
        <v/>
      </c>
      <c r="B83" s="7">
        <f>TEXT(A83,"dddd")</f>
        <v/>
      </c>
      <c r="C83" s="7">
        <f>TEXT(A83,"mmmm")</f>
        <v/>
      </c>
      <c r="D83" s="7" t="inlineStr">
        <is>
          <t>Instagram</t>
        </is>
      </c>
      <c r="E83" s="7" t="inlineStr">
        <is>
          <t>Offer / promo</t>
        </is>
      </c>
      <c r="F83" s="7" t="n"/>
      <c r="G83" s="7" t="n"/>
      <c r="H83" s="7" t="inlineStr">
        <is>
          <t>Idea</t>
        </is>
      </c>
      <c r="I83" s="7" t="n"/>
    </row>
    <row r="84">
      <c r="A84" s="8">
        <f>DATE(Settings!$C$9,1,1)+MOD(7-WEEKDAY(DATE(Settings!$C$9,1,1),3),7)+191</f>
        <v/>
      </c>
      <c r="B84" s="7">
        <f>TEXT(A84,"dddd")</f>
        <v/>
      </c>
      <c r="C84" s="7">
        <f>TEXT(A84,"mmmm")</f>
        <v/>
      </c>
      <c r="D84" s="7" t="inlineStr">
        <is>
          <t>Facebook</t>
        </is>
      </c>
      <c r="E84" s="7" t="inlineStr">
        <is>
          <t>Personal story</t>
        </is>
      </c>
      <c r="F84" s="7" t="n"/>
      <c r="G84" s="7" t="n"/>
      <c r="H84" s="7" t="inlineStr">
        <is>
          <t>Idea</t>
        </is>
      </c>
      <c r="I84" s="7" t="n"/>
    </row>
    <row r="85">
      <c r="A85" s="8">
        <f>DATE(Settings!$C$9,1,1)+MOD(7-WEEKDAY(DATE(Settings!$C$9,1,1),3),7)+193</f>
        <v/>
      </c>
      <c r="B85" s="7">
        <f>TEXT(A85,"dddd")</f>
        <v/>
      </c>
      <c r="C85" s="7">
        <f>TEXT(A85,"mmmm")</f>
        <v/>
      </c>
      <c r="D85" s="7" t="inlineStr">
        <is>
          <t>Instagram</t>
        </is>
      </c>
      <c r="E85" s="7" t="inlineStr">
        <is>
          <t>Engage / community</t>
        </is>
      </c>
      <c r="F85" s="7" t="n"/>
      <c r="G85" s="7" t="n"/>
      <c r="H85" s="7" t="inlineStr">
        <is>
          <t>Idea</t>
        </is>
      </c>
      <c r="I85" s="7" t="n"/>
    </row>
    <row r="86">
      <c r="A86" s="8">
        <f>DATE(Settings!$C$9,1,1)+MOD(7-WEEKDAY(DATE(Settings!$C$9,1,1),3),7)+196</f>
        <v/>
      </c>
      <c r="B86" s="7">
        <f>TEXT(A86,"dddd")</f>
        <v/>
      </c>
      <c r="C86" s="7">
        <f>TEXT(A86,"mmmm")</f>
        <v/>
      </c>
      <c r="D86" s="7" t="inlineStr">
        <is>
          <t>Instagram</t>
        </is>
      </c>
      <c r="E86" s="7" t="inlineStr">
        <is>
          <t>Educate</t>
        </is>
      </c>
      <c r="F86" s="7" t="n"/>
      <c r="G86" s="7" t="n"/>
      <c r="H86" s="7" t="inlineStr">
        <is>
          <t>Idea</t>
        </is>
      </c>
      <c r="I86" s="7" t="n"/>
    </row>
    <row r="87">
      <c r="A87" s="8">
        <f>DATE(Settings!$C$9,1,1)+MOD(7-WEEKDAY(DATE(Settings!$C$9,1,1),3),7)+198</f>
        <v/>
      </c>
      <c r="B87" s="7">
        <f>TEXT(A87,"dddd")</f>
        <v/>
      </c>
      <c r="C87" s="7">
        <f>TEXT(A87,"mmmm")</f>
        <v/>
      </c>
      <c r="D87" s="7" t="inlineStr">
        <is>
          <t>Facebook</t>
        </is>
      </c>
      <c r="E87" s="7" t="inlineStr">
        <is>
          <t>Behind the scenes</t>
        </is>
      </c>
      <c r="F87" s="7" t="n"/>
      <c r="G87" s="7" t="n"/>
      <c r="H87" s="7" t="inlineStr">
        <is>
          <t>Idea</t>
        </is>
      </c>
      <c r="I87" s="7" t="n"/>
    </row>
    <row r="88">
      <c r="A88" s="8">
        <f>DATE(Settings!$C$9,1,1)+MOD(7-WEEKDAY(DATE(Settings!$C$9,1,1),3),7)+200</f>
        <v/>
      </c>
      <c r="B88" s="7">
        <f>TEXT(A88,"dddd")</f>
        <v/>
      </c>
      <c r="C88" s="7">
        <f>TEXT(A88,"mmmm")</f>
        <v/>
      </c>
      <c r="D88" s="7" t="inlineStr">
        <is>
          <t>Instagram</t>
        </is>
      </c>
      <c r="E88" s="7" t="inlineStr">
        <is>
          <t>Social proof</t>
        </is>
      </c>
      <c r="F88" s="7" t="n"/>
      <c r="G88" s="7" t="n"/>
      <c r="H88" s="7" t="inlineStr">
        <is>
          <t>Idea</t>
        </is>
      </c>
      <c r="I88" s="7" t="n"/>
    </row>
    <row r="89">
      <c r="A89" s="8">
        <f>DATE(Settings!$C$9,1,1)+MOD(7-WEEKDAY(DATE(Settings!$C$9,1,1),3),7)+203</f>
        <v/>
      </c>
      <c r="B89" s="7">
        <f>TEXT(A89,"dddd")</f>
        <v/>
      </c>
      <c r="C89" s="7">
        <f>TEXT(A89,"mmmm")</f>
        <v/>
      </c>
      <c r="D89" s="7" t="inlineStr">
        <is>
          <t>Instagram</t>
        </is>
      </c>
      <c r="E89" s="7" t="inlineStr">
        <is>
          <t>Offer / promo</t>
        </is>
      </c>
      <c r="F89" s="7" t="n"/>
      <c r="G89" s="7" t="n"/>
      <c r="H89" s="7" t="inlineStr">
        <is>
          <t>Idea</t>
        </is>
      </c>
      <c r="I89" s="7" t="n"/>
    </row>
    <row r="90">
      <c r="A90" s="8">
        <f>DATE(Settings!$C$9,1,1)+MOD(7-WEEKDAY(DATE(Settings!$C$9,1,1),3),7)+205</f>
        <v/>
      </c>
      <c r="B90" s="7">
        <f>TEXT(A90,"dddd")</f>
        <v/>
      </c>
      <c r="C90" s="7">
        <f>TEXT(A90,"mmmm")</f>
        <v/>
      </c>
      <c r="D90" s="7" t="inlineStr">
        <is>
          <t>Facebook</t>
        </is>
      </c>
      <c r="E90" s="7" t="inlineStr">
        <is>
          <t>Personal story</t>
        </is>
      </c>
      <c r="F90" s="7" t="n"/>
      <c r="G90" s="7" t="n"/>
      <c r="H90" s="7" t="inlineStr">
        <is>
          <t>Idea</t>
        </is>
      </c>
      <c r="I90" s="7" t="n"/>
    </row>
    <row r="91">
      <c r="A91" s="8">
        <f>DATE(Settings!$C$9,1,1)+MOD(7-WEEKDAY(DATE(Settings!$C$9,1,1),3),7)+207</f>
        <v/>
      </c>
      <c r="B91" s="7">
        <f>TEXT(A91,"dddd")</f>
        <v/>
      </c>
      <c r="C91" s="7">
        <f>TEXT(A91,"mmmm")</f>
        <v/>
      </c>
      <c r="D91" s="7" t="inlineStr">
        <is>
          <t>Instagram</t>
        </is>
      </c>
      <c r="E91" s="7" t="inlineStr">
        <is>
          <t>Engage / community</t>
        </is>
      </c>
      <c r="F91" s="7" t="n"/>
      <c r="G91" s="7" t="n"/>
      <c r="H91" s="7" t="inlineStr">
        <is>
          <t>Idea</t>
        </is>
      </c>
      <c r="I91" s="7" t="n"/>
    </row>
    <row r="92">
      <c r="A92" s="8">
        <f>DATE(Settings!$C$9,1,1)+MOD(7-WEEKDAY(DATE(Settings!$C$9,1,1),3),7)+210</f>
        <v/>
      </c>
      <c r="B92" s="7">
        <f>TEXT(A92,"dddd")</f>
        <v/>
      </c>
      <c r="C92" s="7">
        <f>TEXT(A92,"mmmm")</f>
        <v/>
      </c>
      <c r="D92" s="7" t="inlineStr">
        <is>
          <t>Instagram</t>
        </is>
      </c>
      <c r="E92" s="7" t="inlineStr">
        <is>
          <t>Educate</t>
        </is>
      </c>
      <c r="F92" s="7" t="n"/>
      <c r="G92" s="7" t="n"/>
      <c r="H92" s="7" t="inlineStr">
        <is>
          <t>Idea</t>
        </is>
      </c>
      <c r="I92" s="7" t="n"/>
    </row>
    <row r="93">
      <c r="A93" s="8">
        <f>DATE(Settings!$C$9,1,1)+MOD(7-WEEKDAY(DATE(Settings!$C$9,1,1),3),7)+212</f>
        <v/>
      </c>
      <c r="B93" s="7">
        <f>TEXT(A93,"dddd")</f>
        <v/>
      </c>
      <c r="C93" s="7">
        <f>TEXT(A93,"mmmm")</f>
        <v/>
      </c>
      <c r="D93" s="7" t="inlineStr">
        <is>
          <t>Facebook</t>
        </is>
      </c>
      <c r="E93" s="7" t="inlineStr">
        <is>
          <t>Behind the scenes</t>
        </is>
      </c>
      <c r="F93" s="7" t="n"/>
      <c r="G93" s="7" t="n"/>
      <c r="H93" s="7" t="inlineStr">
        <is>
          <t>Idea</t>
        </is>
      </c>
      <c r="I93" s="7" t="n"/>
    </row>
    <row r="94">
      <c r="A94" s="8">
        <f>DATE(Settings!$C$9,1,1)+MOD(7-WEEKDAY(DATE(Settings!$C$9,1,1),3),7)+214</f>
        <v/>
      </c>
      <c r="B94" s="7">
        <f>TEXT(A94,"dddd")</f>
        <v/>
      </c>
      <c r="C94" s="7">
        <f>TEXT(A94,"mmmm")</f>
        <v/>
      </c>
      <c r="D94" s="7" t="inlineStr">
        <is>
          <t>Instagram</t>
        </is>
      </c>
      <c r="E94" s="7" t="inlineStr">
        <is>
          <t>Social proof</t>
        </is>
      </c>
      <c r="F94" s="7" t="n"/>
      <c r="G94" s="7" t="n"/>
      <c r="H94" s="7" t="inlineStr">
        <is>
          <t>Idea</t>
        </is>
      </c>
      <c r="I94" s="7" t="n"/>
    </row>
    <row r="95">
      <c r="A95" s="8">
        <f>DATE(Settings!$C$9,1,1)+MOD(7-WEEKDAY(DATE(Settings!$C$9,1,1),3),7)+217</f>
        <v/>
      </c>
      <c r="B95" s="7">
        <f>TEXT(A95,"dddd")</f>
        <v/>
      </c>
      <c r="C95" s="7">
        <f>TEXT(A95,"mmmm")</f>
        <v/>
      </c>
      <c r="D95" s="7" t="inlineStr">
        <is>
          <t>Instagram</t>
        </is>
      </c>
      <c r="E95" s="7" t="inlineStr">
        <is>
          <t>Offer / promo</t>
        </is>
      </c>
      <c r="F95" s="7" t="n"/>
      <c r="G95" s="7" t="n"/>
      <c r="H95" s="7" t="inlineStr">
        <is>
          <t>Idea</t>
        </is>
      </c>
      <c r="I95" s="7" t="n"/>
    </row>
    <row r="96">
      <c r="A96" s="8">
        <f>DATE(Settings!$C$9,1,1)+MOD(7-WEEKDAY(DATE(Settings!$C$9,1,1),3),7)+219</f>
        <v/>
      </c>
      <c r="B96" s="7">
        <f>TEXT(A96,"dddd")</f>
        <v/>
      </c>
      <c r="C96" s="7">
        <f>TEXT(A96,"mmmm")</f>
        <v/>
      </c>
      <c r="D96" s="7" t="inlineStr">
        <is>
          <t>Facebook</t>
        </is>
      </c>
      <c r="E96" s="7" t="inlineStr">
        <is>
          <t>Personal story</t>
        </is>
      </c>
      <c r="F96" s="7" t="n"/>
      <c r="G96" s="7" t="n"/>
      <c r="H96" s="7" t="inlineStr">
        <is>
          <t>Idea</t>
        </is>
      </c>
      <c r="I96" s="7" t="n"/>
    </row>
    <row r="97">
      <c r="A97" s="8">
        <f>DATE(Settings!$C$9,1,1)+MOD(7-WEEKDAY(DATE(Settings!$C$9,1,1),3),7)+221</f>
        <v/>
      </c>
      <c r="B97" s="7">
        <f>TEXT(A97,"dddd")</f>
        <v/>
      </c>
      <c r="C97" s="7">
        <f>TEXT(A97,"mmmm")</f>
        <v/>
      </c>
      <c r="D97" s="7" t="inlineStr">
        <is>
          <t>Instagram</t>
        </is>
      </c>
      <c r="E97" s="7" t="inlineStr">
        <is>
          <t>Engage / community</t>
        </is>
      </c>
      <c r="F97" s="7" t="n"/>
      <c r="G97" s="7" t="n"/>
      <c r="H97" s="7" t="inlineStr">
        <is>
          <t>Idea</t>
        </is>
      </c>
      <c r="I97" s="7" t="n"/>
    </row>
    <row r="98">
      <c r="A98" s="8">
        <f>DATE(Settings!$C$9,1,1)+MOD(7-WEEKDAY(DATE(Settings!$C$9,1,1),3),7)+224</f>
        <v/>
      </c>
      <c r="B98" s="7">
        <f>TEXT(A98,"dddd")</f>
        <v/>
      </c>
      <c r="C98" s="7">
        <f>TEXT(A98,"mmmm")</f>
        <v/>
      </c>
      <c r="D98" s="7" t="inlineStr">
        <is>
          <t>Instagram</t>
        </is>
      </c>
      <c r="E98" s="7" t="inlineStr">
        <is>
          <t>Educate</t>
        </is>
      </c>
      <c r="F98" s="7" t="n"/>
      <c r="G98" s="7" t="n"/>
      <c r="H98" s="7" t="inlineStr">
        <is>
          <t>Idea</t>
        </is>
      </c>
      <c r="I98" s="7" t="n"/>
    </row>
    <row r="99">
      <c r="A99" s="8">
        <f>DATE(Settings!$C$9,1,1)+MOD(7-WEEKDAY(DATE(Settings!$C$9,1,1),3),7)+226</f>
        <v/>
      </c>
      <c r="B99" s="7">
        <f>TEXT(A99,"dddd")</f>
        <v/>
      </c>
      <c r="C99" s="7">
        <f>TEXT(A99,"mmmm")</f>
        <v/>
      </c>
      <c r="D99" s="7" t="inlineStr">
        <is>
          <t>Facebook</t>
        </is>
      </c>
      <c r="E99" s="7" t="inlineStr">
        <is>
          <t>Behind the scenes</t>
        </is>
      </c>
      <c r="F99" s="7" t="n"/>
      <c r="G99" s="7" t="n"/>
      <c r="H99" s="7" t="inlineStr">
        <is>
          <t>Idea</t>
        </is>
      </c>
      <c r="I99" s="7" t="n"/>
    </row>
    <row r="100">
      <c r="A100" s="8">
        <f>DATE(Settings!$C$9,1,1)+MOD(7-WEEKDAY(DATE(Settings!$C$9,1,1),3),7)+228</f>
        <v/>
      </c>
      <c r="B100" s="7">
        <f>TEXT(A100,"dddd")</f>
        <v/>
      </c>
      <c r="C100" s="7">
        <f>TEXT(A100,"mmmm")</f>
        <v/>
      </c>
      <c r="D100" s="7" t="inlineStr">
        <is>
          <t>Instagram</t>
        </is>
      </c>
      <c r="E100" s="7" t="inlineStr">
        <is>
          <t>Social proof</t>
        </is>
      </c>
      <c r="F100" s="7" t="n"/>
      <c r="G100" s="7" t="n"/>
      <c r="H100" s="7" t="inlineStr">
        <is>
          <t>Idea</t>
        </is>
      </c>
      <c r="I100" s="7" t="n"/>
    </row>
    <row r="101">
      <c r="A101" s="8">
        <f>DATE(Settings!$C$9,1,1)+MOD(7-WEEKDAY(DATE(Settings!$C$9,1,1),3),7)+231</f>
        <v/>
      </c>
      <c r="B101" s="7">
        <f>TEXT(A101,"dddd")</f>
        <v/>
      </c>
      <c r="C101" s="7">
        <f>TEXT(A101,"mmmm")</f>
        <v/>
      </c>
      <c r="D101" s="7" t="inlineStr">
        <is>
          <t>Instagram</t>
        </is>
      </c>
      <c r="E101" s="7" t="inlineStr">
        <is>
          <t>Offer / promo</t>
        </is>
      </c>
      <c r="F101" s="7" t="n"/>
      <c r="G101" s="7" t="n"/>
      <c r="H101" s="7" t="inlineStr">
        <is>
          <t>Idea</t>
        </is>
      </c>
      <c r="I101" s="7" t="n"/>
    </row>
    <row r="102">
      <c r="A102" s="8">
        <f>DATE(Settings!$C$9,1,1)+MOD(7-WEEKDAY(DATE(Settings!$C$9,1,1),3),7)+233</f>
        <v/>
      </c>
      <c r="B102" s="7">
        <f>TEXT(A102,"dddd")</f>
        <v/>
      </c>
      <c r="C102" s="7">
        <f>TEXT(A102,"mmmm")</f>
        <v/>
      </c>
      <c r="D102" s="7" t="inlineStr">
        <is>
          <t>Facebook</t>
        </is>
      </c>
      <c r="E102" s="7" t="inlineStr">
        <is>
          <t>Personal story</t>
        </is>
      </c>
      <c r="F102" s="7" t="n"/>
      <c r="G102" s="7" t="n"/>
      <c r="H102" s="7" t="inlineStr">
        <is>
          <t>Idea</t>
        </is>
      </c>
      <c r="I102" s="7" t="n"/>
    </row>
    <row r="103">
      <c r="A103" s="8">
        <f>DATE(Settings!$C$9,1,1)+MOD(7-WEEKDAY(DATE(Settings!$C$9,1,1),3),7)+235</f>
        <v/>
      </c>
      <c r="B103" s="7">
        <f>TEXT(A103,"dddd")</f>
        <v/>
      </c>
      <c r="C103" s="7">
        <f>TEXT(A103,"mmmm")</f>
        <v/>
      </c>
      <c r="D103" s="7" t="inlineStr">
        <is>
          <t>Instagram</t>
        </is>
      </c>
      <c r="E103" s="7" t="inlineStr">
        <is>
          <t>Engage / community</t>
        </is>
      </c>
      <c r="F103" s="7" t="n"/>
      <c r="G103" s="7" t="n"/>
      <c r="H103" s="7" t="inlineStr">
        <is>
          <t>Idea</t>
        </is>
      </c>
      <c r="I103" s="7" t="n"/>
    </row>
    <row r="104">
      <c r="A104" s="8">
        <f>DATE(Settings!$C$9,1,1)+MOD(7-WEEKDAY(DATE(Settings!$C$9,1,1),3),7)+238</f>
        <v/>
      </c>
      <c r="B104" s="7">
        <f>TEXT(A104,"dddd")</f>
        <v/>
      </c>
      <c r="C104" s="7">
        <f>TEXT(A104,"mmmm")</f>
        <v/>
      </c>
      <c r="D104" s="7" t="inlineStr">
        <is>
          <t>Instagram</t>
        </is>
      </c>
      <c r="E104" s="7" t="inlineStr">
        <is>
          <t>Educate</t>
        </is>
      </c>
      <c r="F104" s="7" t="n"/>
      <c r="G104" s="7" t="n"/>
      <c r="H104" s="7" t="inlineStr">
        <is>
          <t>Idea</t>
        </is>
      </c>
      <c r="I104" s="7" t="n"/>
    </row>
    <row r="105">
      <c r="A105" s="8">
        <f>DATE(Settings!$C$9,1,1)+MOD(7-WEEKDAY(DATE(Settings!$C$9,1,1),3),7)+240</f>
        <v/>
      </c>
      <c r="B105" s="7">
        <f>TEXT(A105,"dddd")</f>
        <v/>
      </c>
      <c r="C105" s="7">
        <f>TEXT(A105,"mmmm")</f>
        <v/>
      </c>
      <c r="D105" s="7" t="inlineStr">
        <is>
          <t>Facebook</t>
        </is>
      </c>
      <c r="E105" s="7" t="inlineStr">
        <is>
          <t>Behind the scenes</t>
        </is>
      </c>
      <c r="F105" s="7" t="n"/>
      <c r="G105" s="7" t="n"/>
      <c r="H105" s="7" t="inlineStr">
        <is>
          <t>Idea</t>
        </is>
      </c>
      <c r="I105" s="7" t="n"/>
    </row>
    <row r="106">
      <c r="A106" s="8">
        <f>DATE(Settings!$C$9,1,1)+MOD(7-WEEKDAY(DATE(Settings!$C$9,1,1),3),7)+242</f>
        <v/>
      </c>
      <c r="B106" s="7">
        <f>TEXT(A106,"dddd")</f>
        <v/>
      </c>
      <c r="C106" s="7">
        <f>TEXT(A106,"mmmm")</f>
        <v/>
      </c>
      <c r="D106" s="7" t="inlineStr">
        <is>
          <t>Instagram</t>
        </is>
      </c>
      <c r="E106" s="7" t="inlineStr">
        <is>
          <t>Social proof</t>
        </is>
      </c>
      <c r="F106" s="7" t="n"/>
      <c r="G106" s="7" t="n"/>
      <c r="H106" s="7" t="inlineStr">
        <is>
          <t>Idea</t>
        </is>
      </c>
      <c r="I106" s="7" t="n"/>
    </row>
    <row r="107">
      <c r="A107" s="8">
        <f>DATE(Settings!$C$9,1,1)+MOD(7-WEEKDAY(DATE(Settings!$C$9,1,1),3),7)+245</f>
        <v/>
      </c>
      <c r="B107" s="7">
        <f>TEXT(A107,"dddd")</f>
        <v/>
      </c>
      <c r="C107" s="7">
        <f>TEXT(A107,"mmmm")</f>
        <v/>
      </c>
      <c r="D107" s="7" t="inlineStr">
        <is>
          <t>Instagram</t>
        </is>
      </c>
      <c r="E107" s="7" t="inlineStr">
        <is>
          <t>Offer / promo</t>
        </is>
      </c>
      <c r="F107" s="7" t="n"/>
      <c r="G107" s="7" t="n"/>
      <c r="H107" s="7" t="inlineStr">
        <is>
          <t>Idea</t>
        </is>
      </c>
      <c r="I107" s="7" t="n"/>
    </row>
    <row r="108">
      <c r="A108" s="8">
        <f>DATE(Settings!$C$9,1,1)+MOD(7-WEEKDAY(DATE(Settings!$C$9,1,1),3),7)+247</f>
        <v/>
      </c>
      <c r="B108" s="7">
        <f>TEXT(A108,"dddd")</f>
        <v/>
      </c>
      <c r="C108" s="7">
        <f>TEXT(A108,"mmmm")</f>
        <v/>
      </c>
      <c r="D108" s="7" t="inlineStr">
        <is>
          <t>Facebook</t>
        </is>
      </c>
      <c r="E108" s="7" t="inlineStr">
        <is>
          <t>Personal story</t>
        </is>
      </c>
      <c r="F108" s="7" t="n"/>
      <c r="G108" s="7" t="n"/>
      <c r="H108" s="7" t="inlineStr">
        <is>
          <t>Idea</t>
        </is>
      </c>
      <c r="I108" s="7" t="n"/>
    </row>
    <row r="109">
      <c r="A109" s="8">
        <f>DATE(Settings!$C$9,1,1)+MOD(7-WEEKDAY(DATE(Settings!$C$9,1,1),3),7)+249</f>
        <v/>
      </c>
      <c r="B109" s="7">
        <f>TEXT(A109,"dddd")</f>
        <v/>
      </c>
      <c r="C109" s="7">
        <f>TEXT(A109,"mmmm")</f>
        <v/>
      </c>
      <c r="D109" s="7" t="inlineStr">
        <is>
          <t>Instagram</t>
        </is>
      </c>
      <c r="E109" s="7" t="inlineStr">
        <is>
          <t>Engage / community</t>
        </is>
      </c>
      <c r="F109" s="7" t="n"/>
      <c r="G109" s="7" t="n"/>
      <c r="H109" s="7" t="inlineStr">
        <is>
          <t>Idea</t>
        </is>
      </c>
      <c r="I109" s="7" t="n"/>
    </row>
    <row r="110">
      <c r="A110" s="8">
        <f>DATE(Settings!$C$9,1,1)+MOD(7-WEEKDAY(DATE(Settings!$C$9,1,1),3),7)+252</f>
        <v/>
      </c>
      <c r="B110" s="7">
        <f>TEXT(A110,"dddd")</f>
        <v/>
      </c>
      <c r="C110" s="7">
        <f>TEXT(A110,"mmmm")</f>
        <v/>
      </c>
      <c r="D110" s="7" t="inlineStr">
        <is>
          <t>Instagram</t>
        </is>
      </c>
      <c r="E110" s="7" t="inlineStr">
        <is>
          <t>Educate</t>
        </is>
      </c>
      <c r="F110" s="7" t="n"/>
      <c r="G110" s="7" t="n"/>
      <c r="H110" s="7" t="inlineStr">
        <is>
          <t>Idea</t>
        </is>
      </c>
      <c r="I110" s="7" t="n"/>
    </row>
    <row r="111">
      <c r="A111" s="8">
        <f>DATE(Settings!$C$9,1,1)+MOD(7-WEEKDAY(DATE(Settings!$C$9,1,1),3),7)+254</f>
        <v/>
      </c>
      <c r="B111" s="7">
        <f>TEXT(A111,"dddd")</f>
        <v/>
      </c>
      <c r="C111" s="7">
        <f>TEXT(A111,"mmmm")</f>
        <v/>
      </c>
      <c r="D111" s="7" t="inlineStr">
        <is>
          <t>Facebook</t>
        </is>
      </c>
      <c r="E111" s="7" t="inlineStr">
        <is>
          <t>Behind the scenes</t>
        </is>
      </c>
      <c r="F111" s="7" t="n"/>
      <c r="G111" s="7" t="n"/>
      <c r="H111" s="7" t="inlineStr">
        <is>
          <t>Idea</t>
        </is>
      </c>
      <c r="I111" s="7" t="n"/>
    </row>
    <row r="112">
      <c r="A112" s="8">
        <f>DATE(Settings!$C$9,1,1)+MOD(7-WEEKDAY(DATE(Settings!$C$9,1,1),3),7)+256</f>
        <v/>
      </c>
      <c r="B112" s="7">
        <f>TEXT(A112,"dddd")</f>
        <v/>
      </c>
      <c r="C112" s="7">
        <f>TEXT(A112,"mmmm")</f>
        <v/>
      </c>
      <c r="D112" s="7" t="inlineStr">
        <is>
          <t>Instagram</t>
        </is>
      </c>
      <c r="E112" s="7" t="inlineStr">
        <is>
          <t>Social proof</t>
        </is>
      </c>
      <c r="F112" s="7" t="n"/>
      <c r="G112" s="7" t="n"/>
      <c r="H112" s="7" t="inlineStr">
        <is>
          <t>Idea</t>
        </is>
      </c>
      <c r="I112" s="7" t="n"/>
    </row>
    <row r="113">
      <c r="A113" s="8">
        <f>DATE(Settings!$C$9,1,1)+MOD(7-WEEKDAY(DATE(Settings!$C$9,1,1),3),7)+259</f>
        <v/>
      </c>
      <c r="B113" s="7">
        <f>TEXT(A113,"dddd")</f>
        <v/>
      </c>
      <c r="C113" s="7">
        <f>TEXT(A113,"mmmm")</f>
        <v/>
      </c>
      <c r="D113" s="7" t="inlineStr">
        <is>
          <t>Instagram</t>
        </is>
      </c>
      <c r="E113" s="7" t="inlineStr">
        <is>
          <t>Offer / promo</t>
        </is>
      </c>
      <c r="F113" s="7" t="n"/>
      <c r="G113" s="7" t="n"/>
      <c r="H113" s="7" t="inlineStr">
        <is>
          <t>Idea</t>
        </is>
      </c>
      <c r="I113" s="7" t="n"/>
    </row>
    <row r="114">
      <c r="A114" s="8">
        <f>DATE(Settings!$C$9,1,1)+MOD(7-WEEKDAY(DATE(Settings!$C$9,1,1),3),7)+261</f>
        <v/>
      </c>
      <c r="B114" s="7">
        <f>TEXT(A114,"dddd")</f>
        <v/>
      </c>
      <c r="C114" s="7">
        <f>TEXT(A114,"mmmm")</f>
        <v/>
      </c>
      <c r="D114" s="7" t="inlineStr">
        <is>
          <t>Facebook</t>
        </is>
      </c>
      <c r="E114" s="7" t="inlineStr">
        <is>
          <t>Personal story</t>
        </is>
      </c>
      <c r="F114" s="7" t="n"/>
      <c r="G114" s="7" t="n"/>
      <c r="H114" s="7" t="inlineStr">
        <is>
          <t>Idea</t>
        </is>
      </c>
      <c r="I114" s="7" t="n"/>
    </row>
    <row r="115">
      <c r="A115" s="8">
        <f>DATE(Settings!$C$9,1,1)+MOD(7-WEEKDAY(DATE(Settings!$C$9,1,1),3),7)+263</f>
        <v/>
      </c>
      <c r="B115" s="7">
        <f>TEXT(A115,"dddd")</f>
        <v/>
      </c>
      <c r="C115" s="7">
        <f>TEXT(A115,"mmmm")</f>
        <v/>
      </c>
      <c r="D115" s="7" t="inlineStr">
        <is>
          <t>Instagram</t>
        </is>
      </c>
      <c r="E115" s="7" t="inlineStr">
        <is>
          <t>Engage / community</t>
        </is>
      </c>
      <c r="F115" s="7" t="n"/>
      <c r="G115" s="7" t="n"/>
      <c r="H115" s="7" t="inlineStr">
        <is>
          <t>Idea</t>
        </is>
      </c>
      <c r="I115" s="7" t="n"/>
    </row>
    <row r="116">
      <c r="A116" s="8">
        <f>DATE(Settings!$C$9,1,1)+MOD(7-WEEKDAY(DATE(Settings!$C$9,1,1),3),7)+266</f>
        <v/>
      </c>
      <c r="B116" s="7">
        <f>TEXT(A116,"dddd")</f>
        <v/>
      </c>
      <c r="C116" s="7">
        <f>TEXT(A116,"mmmm")</f>
        <v/>
      </c>
      <c r="D116" s="7" t="inlineStr">
        <is>
          <t>Instagram</t>
        </is>
      </c>
      <c r="E116" s="7" t="inlineStr">
        <is>
          <t>Educate</t>
        </is>
      </c>
      <c r="F116" s="7" t="n"/>
      <c r="G116" s="7" t="n"/>
      <c r="H116" s="7" t="inlineStr">
        <is>
          <t>Idea</t>
        </is>
      </c>
      <c r="I116" s="7" t="n"/>
    </row>
    <row r="117">
      <c r="A117" s="8">
        <f>DATE(Settings!$C$9,1,1)+MOD(7-WEEKDAY(DATE(Settings!$C$9,1,1),3),7)+268</f>
        <v/>
      </c>
      <c r="B117" s="7">
        <f>TEXT(A117,"dddd")</f>
        <v/>
      </c>
      <c r="C117" s="7">
        <f>TEXT(A117,"mmmm")</f>
        <v/>
      </c>
      <c r="D117" s="7" t="inlineStr">
        <is>
          <t>Facebook</t>
        </is>
      </c>
      <c r="E117" s="7" t="inlineStr">
        <is>
          <t>Behind the scenes</t>
        </is>
      </c>
      <c r="F117" s="7" t="n"/>
      <c r="G117" s="7" t="n"/>
      <c r="H117" s="7" t="inlineStr">
        <is>
          <t>Idea</t>
        </is>
      </c>
      <c r="I117" s="7" t="n"/>
    </row>
    <row r="118">
      <c r="A118" s="8">
        <f>DATE(Settings!$C$9,1,1)+MOD(7-WEEKDAY(DATE(Settings!$C$9,1,1),3),7)+270</f>
        <v/>
      </c>
      <c r="B118" s="7">
        <f>TEXT(A118,"dddd")</f>
        <v/>
      </c>
      <c r="C118" s="7">
        <f>TEXT(A118,"mmmm")</f>
        <v/>
      </c>
      <c r="D118" s="7" t="inlineStr">
        <is>
          <t>Instagram</t>
        </is>
      </c>
      <c r="E118" s="7" t="inlineStr">
        <is>
          <t>Social proof</t>
        </is>
      </c>
      <c r="F118" s="7" t="n"/>
      <c r="G118" s="7" t="n"/>
      <c r="H118" s="7" t="inlineStr">
        <is>
          <t>Idea</t>
        </is>
      </c>
      <c r="I118" s="7" t="n"/>
    </row>
    <row r="119">
      <c r="A119" s="8">
        <f>DATE(Settings!$C$9,1,1)+MOD(7-WEEKDAY(DATE(Settings!$C$9,1,1),3),7)+273</f>
        <v/>
      </c>
      <c r="B119" s="7">
        <f>TEXT(A119,"dddd")</f>
        <v/>
      </c>
      <c r="C119" s="7">
        <f>TEXT(A119,"mmmm")</f>
        <v/>
      </c>
      <c r="D119" s="7" t="inlineStr">
        <is>
          <t>Instagram</t>
        </is>
      </c>
      <c r="E119" s="7" t="inlineStr">
        <is>
          <t>Offer / promo</t>
        </is>
      </c>
      <c r="F119" s="7" t="n"/>
      <c r="G119" s="7" t="n"/>
      <c r="H119" s="7" t="inlineStr">
        <is>
          <t>Idea</t>
        </is>
      </c>
      <c r="I119" s="7" t="n"/>
    </row>
    <row r="120">
      <c r="A120" s="8">
        <f>DATE(Settings!$C$9,1,1)+MOD(7-WEEKDAY(DATE(Settings!$C$9,1,1),3),7)+275</f>
        <v/>
      </c>
      <c r="B120" s="7">
        <f>TEXT(A120,"dddd")</f>
        <v/>
      </c>
      <c r="C120" s="7">
        <f>TEXT(A120,"mmmm")</f>
        <v/>
      </c>
      <c r="D120" s="7" t="inlineStr">
        <is>
          <t>Facebook</t>
        </is>
      </c>
      <c r="E120" s="7" t="inlineStr">
        <is>
          <t>Personal story</t>
        </is>
      </c>
      <c r="F120" s="7" t="n"/>
      <c r="G120" s="7" t="n"/>
      <c r="H120" s="7" t="inlineStr">
        <is>
          <t>Idea</t>
        </is>
      </c>
      <c r="I120" s="7" t="n"/>
    </row>
    <row r="121">
      <c r="A121" s="8">
        <f>DATE(Settings!$C$9,1,1)+MOD(7-WEEKDAY(DATE(Settings!$C$9,1,1),3),7)+277</f>
        <v/>
      </c>
      <c r="B121" s="7">
        <f>TEXT(A121,"dddd")</f>
        <v/>
      </c>
      <c r="C121" s="7">
        <f>TEXT(A121,"mmmm")</f>
        <v/>
      </c>
      <c r="D121" s="7" t="inlineStr">
        <is>
          <t>Instagram</t>
        </is>
      </c>
      <c r="E121" s="7" t="inlineStr">
        <is>
          <t>Engage / community</t>
        </is>
      </c>
      <c r="F121" s="7" t="n"/>
      <c r="G121" s="7" t="n"/>
      <c r="H121" s="7" t="inlineStr">
        <is>
          <t>Idea</t>
        </is>
      </c>
      <c r="I121" s="7" t="n"/>
    </row>
    <row r="122">
      <c r="A122" s="8">
        <f>DATE(Settings!$C$9,1,1)+MOD(7-WEEKDAY(DATE(Settings!$C$9,1,1),3),7)+280</f>
        <v/>
      </c>
      <c r="B122" s="7">
        <f>TEXT(A122,"dddd")</f>
        <v/>
      </c>
      <c r="C122" s="7">
        <f>TEXT(A122,"mmmm")</f>
        <v/>
      </c>
      <c r="D122" s="7" t="inlineStr">
        <is>
          <t>Instagram</t>
        </is>
      </c>
      <c r="E122" s="7" t="inlineStr">
        <is>
          <t>Educate</t>
        </is>
      </c>
      <c r="F122" s="7" t="n"/>
      <c r="G122" s="7" t="n"/>
      <c r="H122" s="7" t="inlineStr">
        <is>
          <t>Idea</t>
        </is>
      </c>
      <c r="I122" s="7" t="n"/>
    </row>
    <row r="123">
      <c r="A123" s="8">
        <f>DATE(Settings!$C$9,1,1)+MOD(7-WEEKDAY(DATE(Settings!$C$9,1,1),3),7)+282</f>
        <v/>
      </c>
      <c r="B123" s="7">
        <f>TEXT(A123,"dddd")</f>
        <v/>
      </c>
      <c r="C123" s="7">
        <f>TEXT(A123,"mmmm")</f>
        <v/>
      </c>
      <c r="D123" s="7" t="inlineStr">
        <is>
          <t>Facebook</t>
        </is>
      </c>
      <c r="E123" s="7" t="inlineStr">
        <is>
          <t>Behind the scenes</t>
        </is>
      </c>
      <c r="F123" s="7" t="n"/>
      <c r="G123" s="7" t="n"/>
      <c r="H123" s="7" t="inlineStr">
        <is>
          <t>Idea</t>
        </is>
      </c>
      <c r="I123" s="7" t="n"/>
    </row>
    <row r="124">
      <c r="A124" s="8">
        <f>DATE(Settings!$C$9,1,1)+MOD(7-WEEKDAY(DATE(Settings!$C$9,1,1),3),7)+284</f>
        <v/>
      </c>
      <c r="B124" s="7">
        <f>TEXT(A124,"dddd")</f>
        <v/>
      </c>
      <c r="C124" s="7">
        <f>TEXT(A124,"mmmm")</f>
        <v/>
      </c>
      <c r="D124" s="7" t="inlineStr">
        <is>
          <t>Instagram</t>
        </is>
      </c>
      <c r="E124" s="7" t="inlineStr">
        <is>
          <t>Social proof</t>
        </is>
      </c>
      <c r="F124" s="7" t="n"/>
      <c r="G124" s="7" t="n"/>
      <c r="H124" s="7" t="inlineStr">
        <is>
          <t>Idea</t>
        </is>
      </c>
      <c r="I124" s="7" t="n"/>
    </row>
    <row r="125">
      <c r="A125" s="8">
        <f>DATE(Settings!$C$9,1,1)+MOD(7-WEEKDAY(DATE(Settings!$C$9,1,1),3),7)+287</f>
        <v/>
      </c>
      <c r="B125" s="7">
        <f>TEXT(A125,"dddd")</f>
        <v/>
      </c>
      <c r="C125" s="7">
        <f>TEXT(A125,"mmmm")</f>
        <v/>
      </c>
      <c r="D125" s="7" t="inlineStr">
        <is>
          <t>Instagram</t>
        </is>
      </c>
      <c r="E125" s="7" t="inlineStr">
        <is>
          <t>Offer / promo</t>
        </is>
      </c>
      <c r="F125" s="7" t="n"/>
      <c r="G125" s="7" t="n"/>
      <c r="H125" s="7" t="inlineStr">
        <is>
          <t>Idea</t>
        </is>
      </c>
      <c r="I125" s="7" t="n"/>
    </row>
    <row r="126">
      <c r="A126" s="8">
        <f>DATE(Settings!$C$9,1,1)+MOD(7-WEEKDAY(DATE(Settings!$C$9,1,1),3),7)+289</f>
        <v/>
      </c>
      <c r="B126" s="7">
        <f>TEXT(A126,"dddd")</f>
        <v/>
      </c>
      <c r="C126" s="7">
        <f>TEXT(A126,"mmmm")</f>
        <v/>
      </c>
      <c r="D126" s="7" t="inlineStr">
        <is>
          <t>Facebook</t>
        </is>
      </c>
      <c r="E126" s="7" t="inlineStr">
        <is>
          <t>Personal story</t>
        </is>
      </c>
      <c r="F126" s="7" t="n"/>
      <c r="G126" s="7" t="n"/>
      <c r="H126" s="7" t="inlineStr">
        <is>
          <t>Idea</t>
        </is>
      </c>
      <c r="I126" s="7" t="n"/>
    </row>
    <row r="127">
      <c r="A127" s="8">
        <f>DATE(Settings!$C$9,1,1)+MOD(7-WEEKDAY(DATE(Settings!$C$9,1,1),3),7)+291</f>
        <v/>
      </c>
      <c r="B127" s="7">
        <f>TEXT(A127,"dddd")</f>
        <v/>
      </c>
      <c r="C127" s="7">
        <f>TEXT(A127,"mmmm")</f>
        <v/>
      </c>
      <c r="D127" s="7" t="inlineStr">
        <is>
          <t>Instagram</t>
        </is>
      </c>
      <c r="E127" s="7" t="inlineStr">
        <is>
          <t>Engage / community</t>
        </is>
      </c>
      <c r="F127" s="7" t="n"/>
      <c r="G127" s="7" t="n"/>
      <c r="H127" s="7" t="inlineStr">
        <is>
          <t>Idea</t>
        </is>
      </c>
      <c r="I127" s="7" t="n"/>
    </row>
    <row r="128">
      <c r="A128" s="8">
        <f>DATE(Settings!$C$9,1,1)+MOD(7-WEEKDAY(DATE(Settings!$C$9,1,1),3),7)+294</f>
        <v/>
      </c>
      <c r="B128" s="7">
        <f>TEXT(A128,"dddd")</f>
        <v/>
      </c>
      <c r="C128" s="7">
        <f>TEXT(A128,"mmmm")</f>
        <v/>
      </c>
      <c r="D128" s="7" t="inlineStr">
        <is>
          <t>Instagram</t>
        </is>
      </c>
      <c r="E128" s="7" t="inlineStr">
        <is>
          <t>Educate</t>
        </is>
      </c>
      <c r="F128" s="7" t="n"/>
      <c r="G128" s="7" t="n"/>
      <c r="H128" s="7" t="inlineStr">
        <is>
          <t>Idea</t>
        </is>
      </c>
      <c r="I128" s="7" t="n"/>
    </row>
    <row r="129">
      <c r="A129" s="8">
        <f>DATE(Settings!$C$9,1,1)+MOD(7-WEEKDAY(DATE(Settings!$C$9,1,1),3),7)+296</f>
        <v/>
      </c>
      <c r="B129" s="7">
        <f>TEXT(A129,"dddd")</f>
        <v/>
      </c>
      <c r="C129" s="7">
        <f>TEXT(A129,"mmmm")</f>
        <v/>
      </c>
      <c r="D129" s="7" t="inlineStr">
        <is>
          <t>Facebook</t>
        </is>
      </c>
      <c r="E129" s="7" t="inlineStr">
        <is>
          <t>Behind the scenes</t>
        </is>
      </c>
      <c r="F129" s="7" t="n"/>
      <c r="G129" s="7" t="n"/>
      <c r="H129" s="7" t="inlineStr">
        <is>
          <t>Idea</t>
        </is>
      </c>
      <c r="I129" s="7" t="n"/>
    </row>
    <row r="130">
      <c r="A130" s="8">
        <f>DATE(Settings!$C$9,1,1)+MOD(7-WEEKDAY(DATE(Settings!$C$9,1,1),3),7)+298</f>
        <v/>
      </c>
      <c r="B130" s="7">
        <f>TEXT(A130,"dddd")</f>
        <v/>
      </c>
      <c r="C130" s="7">
        <f>TEXT(A130,"mmmm")</f>
        <v/>
      </c>
      <c r="D130" s="7" t="inlineStr">
        <is>
          <t>Instagram</t>
        </is>
      </c>
      <c r="E130" s="7" t="inlineStr">
        <is>
          <t>Social proof</t>
        </is>
      </c>
      <c r="F130" s="7" t="n"/>
      <c r="G130" s="7" t="n"/>
      <c r="H130" s="7" t="inlineStr">
        <is>
          <t>Idea</t>
        </is>
      </c>
      <c r="I130" s="7" t="n"/>
    </row>
    <row r="131">
      <c r="A131" s="8">
        <f>DATE(Settings!$C$9,1,1)+MOD(7-WEEKDAY(DATE(Settings!$C$9,1,1),3),7)+301</f>
        <v/>
      </c>
      <c r="B131" s="7">
        <f>TEXT(A131,"dddd")</f>
        <v/>
      </c>
      <c r="C131" s="7">
        <f>TEXT(A131,"mmmm")</f>
        <v/>
      </c>
      <c r="D131" s="7" t="inlineStr">
        <is>
          <t>Instagram</t>
        </is>
      </c>
      <c r="E131" s="7" t="inlineStr">
        <is>
          <t>Offer / promo</t>
        </is>
      </c>
      <c r="F131" s="7" t="n"/>
      <c r="G131" s="7" t="n"/>
      <c r="H131" s="7" t="inlineStr">
        <is>
          <t>Idea</t>
        </is>
      </c>
      <c r="I131" s="7" t="n"/>
    </row>
    <row r="132">
      <c r="A132" s="8">
        <f>DATE(Settings!$C$9,1,1)+MOD(7-WEEKDAY(DATE(Settings!$C$9,1,1),3),7)+303</f>
        <v/>
      </c>
      <c r="B132" s="7">
        <f>TEXT(A132,"dddd")</f>
        <v/>
      </c>
      <c r="C132" s="7">
        <f>TEXT(A132,"mmmm")</f>
        <v/>
      </c>
      <c r="D132" s="7" t="inlineStr">
        <is>
          <t>Facebook</t>
        </is>
      </c>
      <c r="E132" s="7" t="inlineStr">
        <is>
          <t>Personal story</t>
        </is>
      </c>
      <c r="F132" s="7" t="n"/>
      <c r="G132" s="7" t="n"/>
      <c r="H132" s="7" t="inlineStr">
        <is>
          <t>Idea</t>
        </is>
      </c>
      <c r="I132" s="7" t="n"/>
    </row>
    <row r="133">
      <c r="A133" s="8">
        <f>DATE(Settings!$C$9,1,1)+MOD(7-WEEKDAY(DATE(Settings!$C$9,1,1),3),7)+305</f>
        <v/>
      </c>
      <c r="B133" s="7">
        <f>TEXT(A133,"dddd")</f>
        <v/>
      </c>
      <c r="C133" s="7">
        <f>TEXT(A133,"mmmm")</f>
        <v/>
      </c>
      <c r="D133" s="7" t="inlineStr">
        <is>
          <t>Instagram</t>
        </is>
      </c>
      <c r="E133" s="7" t="inlineStr">
        <is>
          <t>Engage / community</t>
        </is>
      </c>
      <c r="F133" s="7" t="n"/>
      <c r="G133" s="7" t="n"/>
      <c r="H133" s="7" t="inlineStr">
        <is>
          <t>Idea</t>
        </is>
      </c>
      <c r="I133" s="7" t="n"/>
    </row>
    <row r="134">
      <c r="A134" s="8">
        <f>DATE(Settings!$C$9,1,1)+MOD(7-WEEKDAY(DATE(Settings!$C$9,1,1),3),7)+308</f>
        <v/>
      </c>
      <c r="B134" s="7">
        <f>TEXT(A134,"dddd")</f>
        <v/>
      </c>
      <c r="C134" s="7">
        <f>TEXT(A134,"mmmm")</f>
        <v/>
      </c>
      <c r="D134" s="7" t="inlineStr">
        <is>
          <t>Instagram</t>
        </is>
      </c>
      <c r="E134" s="7" t="inlineStr">
        <is>
          <t>Educate</t>
        </is>
      </c>
      <c r="F134" s="7" t="n"/>
      <c r="G134" s="7" t="n"/>
      <c r="H134" s="7" t="inlineStr">
        <is>
          <t>Idea</t>
        </is>
      </c>
      <c r="I134" s="7" t="n"/>
    </row>
    <row r="135">
      <c r="A135" s="8">
        <f>DATE(Settings!$C$9,1,1)+MOD(7-WEEKDAY(DATE(Settings!$C$9,1,1),3),7)+310</f>
        <v/>
      </c>
      <c r="B135" s="7">
        <f>TEXT(A135,"dddd")</f>
        <v/>
      </c>
      <c r="C135" s="7">
        <f>TEXT(A135,"mmmm")</f>
        <v/>
      </c>
      <c r="D135" s="7" t="inlineStr">
        <is>
          <t>Facebook</t>
        </is>
      </c>
      <c r="E135" s="7" t="inlineStr">
        <is>
          <t>Behind the scenes</t>
        </is>
      </c>
      <c r="F135" s="7" t="n"/>
      <c r="G135" s="7" t="n"/>
      <c r="H135" s="7" t="inlineStr">
        <is>
          <t>Idea</t>
        </is>
      </c>
      <c r="I135" s="7" t="n"/>
    </row>
    <row r="136">
      <c r="A136" s="8">
        <f>DATE(Settings!$C$9,1,1)+MOD(7-WEEKDAY(DATE(Settings!$C$9,1,1),3),7)+312</f>
        <v/>
      </c>
      <c r="B136" s="7">
        <f>TEXT(A136,"dddd")</f>
        <v/>
      </c>
      <c r="C136" s="7">
        <f>TEXT(A136,"mmmm")</f>
        <v/>
      </c>
      <c r="D136" s="7" t="inlineStr">
        <is>
          <t>Instagram</t>
        </is>
      </c>
      <c r="E136" s="7" t="inlineStr">
        <is>
          <t>Social proof</t>
        </is>
      </c>
      <c r="F136" s="7" t="n"/>
      <c r="G136" s="7" t="n"/>
      <c r="H136" s="7" t="inlineStr">
        <is>
          <t>Idea</t>
        </is>
      </c>
      <c r="I136" s="7" t="n"/>
    </row>
    <row r="137">
      <c r="A137" s="8">
        <f>DATE(Settings!$C$9,1,1)+MOD(7-WEEKDAY(DATE(Settings!$C$9,1,1),3),7)+315</f>
        <v/>
      </c>
      <c r="B137" s="7">
        <f>TEXT(A137,"dddd")</f>
        <v/>
      </c>
      <c r="C137" s="7">
        <f>TEXT(A137,"mmmm")</f>
        <v/>
      </c>
      <c r="D137" s="7" t="inlineStr">
        <is>
          <t>Instagram</t>
        </is>
      </c>
      <c r="E137" s="7" t="inlineStr">
        <is>
          <t>Offer / promo</t>
        </is>
      </c>
      <c r="F137" s="7" t="n"/>
      <c r="G137" s="7" t="n"/>
      <c r="H137" s="7" t="inlineStr">
        <is>
          <t>Idea</t>
        </is>
      </c>
      <c r="I137" s="7" t="n"/>
    </row>
    <row r="138">
      <c r="A138" s="8">
        <f>DATE(Settings!$C$9,1,1)+MOD(7-WEEKDAY(DATE(Settings!$C$9,1,1),3),7)+317</f>
        <v/>
      </c>
      <c r="B138" s="7">
        <f>TEXT(A138,"dddd")</f>
        <v/>
      </c>
      <c r="C138" s="7">
        <f>TEXT(A138,"mmmm")</f>
        <v/>
      </c>
      <c r="D138" s="7" t="inlineStr">
        <is>
          <t>Facebook</t>
        </is>
      </c>
      <c r="E138" s="7" t="inlineStr">
        <is>
          <t>Personal story</t>
        </is>
      </c>
      <c r="F138" s="7" t="n"/>
      <c r="G138" s="7" t="n"/>
      <c r="H138" s="7" t="inlineStr">
        <is>
          <t>Idea</t>
        </is>
      </c>
      <c r="I138" s="7" t="n"/>
    </row>
    <row r="139">
      <c r="A139" s="8">
        <f>DATE(Settings!$C$9,1,1)+MOD(7-WEEKDAY(DATE(Settings!$C$9,1,1),3),7)+319</f>
        <v/>
      </c>
      <c r="B139" s="7">
        <f>TEXT(A139,"dddd")</f>
        <v/>
      </c>
      <c r="C139" s="7">
        <f>TEXT(A139,"mmmm")</f>
        <v/>
      </c>
      <c r="D139" s="7" t="inlineStr">
        <is>
          <t>Instagram</t>
        </is>
      </c>
      <c r="E139" s="7" t="inlineStr">
        <is>
          <t>Engage / community</t>
        </is>
      </c>
      <c r="F139" s="7" t="n"/>
      <c r="G139" s="7" t="n"/>
      <c r="H139" s="7" t="inlineStr">
        <is>
          <t>Idea</t>
        </is>
      </c>
      <c r="I139" s="7" t="n"/>
    </row>
    <row r="140">
      <c r="A140" s="8">
        <f>DATE(Settings!$C$9,1,1)+MOD(7-WEEKDAY(DATE(Settings!$C$9,1,1),3),7)+322</f>
        <v/>
      </c>
      <c r="B140" s="7">
        <f>TEXT(A140,"dddd")</f>
        <v/>
      </c>
      <c r="C140" s="7">
        <f>TEXT(A140,"mmmm")</f>
        <v/>
      </c>
      <c r="D140" s="7" t="inlineStr">
        <is>
          <t>Instagram</t>
        </is>
      </c>
      <c r="E140" s="7" t="inlineStr">
        <is>
          <t>Educate</t>
        </is>
      </c>
      <c r="F140" s="7" t="n"/>
      <c r="G140" s="7" t="n"/>
      <c r="H140" s="7" t="inlineStr">
        <is>
          <t>Idea</t>
        </is>
      </c>
      <c r="I140" s="7" t="n"/>
    </row>
    <row r="141">
      <c r="A141" s="8">
        <f>DATE(Settings!$C$9,1,1)+MOD(7-WEEKDAY(DATE(Settings!$C$9,1,1),3),7)+324</f>
        <v/>
      </c>
      <c r="B141" s="7">
        <f>TEXT(A141,"dddd")</f>
        <v/>
      </c>
      <c r="C141" s="7">
        <f>TEXT(A141,"mmmm")</f>
        <v/>
      </c>
      <c r="D141" s="7" t="inlineStr">
        <is>
          <t>Facebook</t>
        </is>
      </c>
      <c r="E141" s="7" t="inlineStr">
        <is>
          <t>Behind the scenes</t>
        </is>
      </c>
      <c r="F141" s="7" t="n"/>
      <c r="G141" s="7" t="n"/>
      <c r="H141" s="7" t="inlineStr">
        <is>
          <t>Idea</t>
        </is>
      </c>
      <c r="I141" s="7" t="n"/>
    </row>
    <row r="142">
      <c r="A142" s="8">
        <f>DATE(Settings!$C$9,1,1)+MOD(7-WEEKDAY(DATE(Settings!$C$9,1,1),3),7)+326</f>
        <v/>
      </c>
      <c r="B142" s="7">
        <f>TEXT(A142,"dddd")</f>
        <v/>
      </c>
      <c r="C142" s="7">
        <f>TEXT(A142,"mmmm")</f>
        <v/>
      </c>
      <c r="D142" s="7" t="inlineStr">
        <is>
          <t>Instagram</t>
        </is>
      </c>
      <c r="E142" s="7" t="inlineStr">
        <is>
          <t>Social proof</t>
        </is>
      </c>
      <c r="F142" s="7" t="n"/>
      <c r="G142" s="7" t="n"/>
      <c r="H142" s="7" t="inlineStr">
        <is>
          <t>Idea</t>
        </is>
      </c>
      <c r="I142" s="7" t="n"/>
    </row>
    <row r="143">
      <c r="A143" s="8">
        <f>DATE(Settings!$C$9,1,1)+MOD(7-WEEKDAY(DATE(Settings!$C$9,1,1),3),7)+329</f>
        <v/>
      </c>
      <c r="B143" s="7">
        <f>TEXT(A143,"dddd")</f>
        <v/>
      </c>
      <c r="C143" s="7">
        <f>TEXT(A143,"mmmm")</f>
        <v/>
      </c>
      <c r="D143" s="7" t="inlineStr">
        <is>
          <t>Instagram</t>
        </is>
      </c>
      <c r="E143" s="7" t="inlineStr">
        <is>
          <t>Offer / promo</t>
        </is>
      </c>
      <c r="F143" s="7" t="n"/>
      <c r="G143" s="7" t="n"/>
      <c r="H143" s="7" t="inlineStr">
        <is>
          <t>Idea</t>
        </is>
      </c>
      <c r="I143" s="7" t="n"/>
    </row>
    <row r="144">
      <c r="A144" s="8">
        <f>DATE(Settings!$C$9,1,1)+MOD(7-WEEKDAY(DATE(Settings!$C$9,1,1),3),7)+331</f>
        <v/>
      </c>
      <c r="B144" s="7">
        <f>TEXT(A144,"dddd")</f>
        <v/>
      </c>
      <c r="C144" s="7">
        <f>TEXT(A144,"mmmm")</f>
        <v/>
      </c>
      <c r="D144" s="7" t="inlineStr">
        <is>
          <t>Facebook</t>
        </is>
      </c>
      <c r="E144" s="7" t="inlineStr">
        <is>
          <t>Personal story</t>
        </is>
      </c>
      <c r="F144" s="7" t="n"/>
      <c r="G144" s="7" t="n"/>
      <c r="H144" s="7" t="inlineStr">
        <is>
          <t>Idea</t>
        </is>
      </c>
      <c r="I144" s="7" t="n"/>
    </row>
    <row r="145">
      <c r="A145" s="8">
        <f>DATE(Settings!$C$9,1,1)+MOD(7-WEEKDAY(DATE(Settings!$C$9,1,1),3),7)+333</f>
        <v/>
      </c>
      <c r="B145" s="7">
        <f>TEXT(A145,"dddd")</f>
        <v/>
      </c>
      <c r="C145" s="7">
        <f>TEXT(A145,"mmmm")</f>
        <v/>
      </c>
      <c r="D145" s="7" t="inlineStr">
        <is>
          <t>Instagram</t>
        </is>
      </c>
      <c r="E145" s="7" t="inlineStr">
        <is>
          <t>Engage / community</t>
        </is>
      </c>
      <c r="F145" s="7" t="n"/>
      <c r="G145" s="7" t="n"/>
      <c r="H145" s="7" t="inlineStr">
        <is>
          <t>Idea</t>
        </is>
      </c>
      <c r="I145" s="7" t="n"/>
    </row>
    <row r="146">
      <c r="A146" s="8">
        <f>DATE(Settings!$C$9,1,1)+MOD(7-WEEKDAY(DATE(Settings!$C$9,1,1),3),7)+336</f>
        <v/>
      </c>
      <c r="B146" s="7">
        <f>TEXT(A146,"dddd")</f>
        <v/>
      </c>
      <c r="C146" s="7">
        <f>TEXT(A146,"mmmm")</f>
        <v/>
      </c>
      <c r="D146" s="7" t="inlineStr">
        <is>
          <t>Instagram</t>
        </is>
      </c>
      <c r="E146" s="7" t="inlineStr">
        <is>
          <t>Educate</t>
        </is>
      </c>
      <c r="F146" s="7" t="n"/>
      <c r="G146" s="7" t="n"/>
      <c r="H146" s="7" t="inlineStr">
        <is>
          <t>Idea</t>
        </is>
      </c>
      <c r="I146" s="7" t="n"/>
    </row>
    <row r="147">
      <c r="A147" s="8">
        <f>DATE(Settings!$C$9,1,1)+MOD(7-WEEKDAY(DATE(Settings!$C$9,1,1),3),7)+338</f>
        <v/>
      </c>
      <c r="B147" s="7">
        <f>TEXT(A147,"dddd")</f>
        <v/>
      </c>
      <c r="C147" s="7">
        <f>TEXT(A147,"mmmm")</f>
        <v/>
      </c>
      <c r="D147" s="7" t="inlineStr">
        <is>
          <t>Facebook</t>
        </is>
      </c>
      <c r="E147" s="7" t="inlineStr">
        <is>
          <t>Behind the scenes</t>
        </is>
      </c>
      <c r="F147" s="7" t="n"/>
      <c r="G147" s="7" t="n"/>
      <c r="H147" s="7" t="inlineStr">
        <is>
          <t>Idea</t>
        </is>
      </c>
      <c r="I147" s="7" t="n"/>
    </row>
    <row r="148">
      <c r="A148" s="8">
        <f>DATE(Settings!$C$9,1,1)+MOD(7-WEEKDAY(DATE(Settings!$C$9,1,1),3),7)+340</f>
        <v/>
      </c>
      <c r="B148" s="7">
        <f>TEXT(A148,"dddd")</f>
        <v/>
      </c>
      <c r="C148" s="7">
        <f>TEXT(A148,"mmmm")</f>
        <v/>
      </c>
      <c r="D148" s="7" t="inlineStr">
        <is>
          <t>Instagram</t>
        </is>
      </c>
      <c r="E148" s="7" t="inlineStr">
        <is>
          <t>Social proof</t>
        </is>
      </c>
      <c r="F148" s="7" t="n"/>
      <c r="G148" s="7" t="n"/>
      <c r="H148" s="7" t="inlineStr">
        <is>
          <t>Idea</t>
        </is>
      </c>
      <c r="I148" s="7" t="n"/>
    </row>
    <row r="149">
      <c r="A149" s="8">
        <f>DATE(Settings!$C$9,1,1)+MOD(7-WEEKDAY(DATE(Settings!$C$9,1,1),3),7)+343</f>
        <v/>
      </c>
      <c r="B149" s="7">
        <f>TEXT(A149,"dddd")</f>
        <v/>
      </c>
      <c r="C149" s="7">
        <f>TEXT(A149,"mmmm")</f>
        <v/>
      </c>
      <c r="D149" s="7" t="inlineStr">
        <is>
          <t>Instagram</t>
        </is>
      </c>
      <c r="E149" s="7" t="inlineStr">
        <is>
          <t>Offer / promo</t>
        </is>
      </c>
      <c r="F149" s="7" t="n"/>
      <c r="G149" s="7" t="n"/>
      <c r="H149" s="7" t="inlineStr">
        <is>
          <t>Idea</t>
        </is>
      </c>
      <c r="I149" s="7" t="n"/>
    </row>
    <row r="150">
      <c r="A150" s="8">
        <f>DATE(Settings!$C$9,1,1)+MOD(7-WEEKDAY(DATE(Settings!$C$9,1,1),3),7)+345</f>
        <v/>
      </c>
      <c r="B150" s="7">
        <f>TEXT(A150,"dddd")</f>
        <v/>
      </c>
      <c r="C150" s="7">
        <f>TEXT(A150,"mmmm")</f>
        <v/>
      </c>
      <c r="D150" s="7" t="inlineStr">
        <is>
          <t>Facebook</t>
        </is>
      </c>
      <c r="E150" s="7" t="inlineStr">
        <is>
          <t>Personal story</t>
        </is>
      </c>
      <c r="F150" s="7" t="n"/>
      <c r="G150" s="7" t="n"/>
      <c r="H150" s="7" t="inlineStr">
        <is>
          <t>Idea</t>
        </is>
      </c>
      <c r="I150" s="7" t="n"/>
    </row>
    <row r="151">
      <c r="A151" s="8">
        <f>DATE(Settings!$C$9,1,1)+MOD(7-WEEKDAY(DATE(Settings!$C$9,1,1),3),7)+347</f>
        <v/>
      </c>
      <c r="B151" s="7">
        <f>TEXT(A151,"dddd")</f>
        <v/>
      </c>
      <c r="C151" s="7">
        <f>TEXT(A151,"mmmm")</f>
        <v/>
      </c>
      <c r="D151" s="7" t="inlineStr">
        <is>
          <t>Instagram</t>
        </is>
      </c>
      <c r="E151" s="7" t="inlineStr">
        <is>
          <t>Engage / community</t>
        </is>
      </c>
      <c r="F151" s="7" t="n"/>
      <c r="G151" s="7" t="n"/>
      <c r="H151" s="7" t="inlineStr">
        <is>
          <t>Idea</t>
        </is>
      </c>
      <c r="I151" s="7" t="n"/>
    </row>
    <row r="152">
      <c r="A152" s="8">
        <f>DATE(Settings!$C$9,1,1)+MOD(7-WEEKDAY(DATE(Settings!$C$9,1,1),3),7)+350</f>
        <v/>
      </c>
      <c r="B152" s="7">
        <f>TEXT(A152,"dddd")</f>
        <v/>
      </c>
      <c r="C152" s="7">
        <f>TEXT(A152,"mmmm")</f>
        <v/>
      </c>
      <c r="D152" s="7" t="inlineStr">
        <is>
          <t>Instagram</t>
        </is>
      </c>
      <c r="E152" s="7" t="inlineStr">
        <is>
          <t>Educate</t>
        </is>
      </c>
      <c r="F152" s="7" t="n"/>
      <c r="G152" s="7" t="n"/>
      <c r="H152" s="7" t="inlineStr">
        <is>
          <t>Idea</t>
        </is>
      </c>
      <c r="I152" s="7" t="n"/>
    </row>
    <row r="153">
      <c r="A153" s="8">
        <f>DATE(Settings!$C$9,1,1)+MOD(7-WEEKDAY(DATE(Settings!$C$9,1,1),3),7)+352</f>
        <v/>
      </c>
      <c r="B153" s="7">
        <f>TEXT(A153,"dddd")</f>
        <v/>
      </c>
      <c r="C153" s="7">
        <f>TEXT(A153,"mmmm")</f>
        <v/>
      </c>
      <c r="D153" s="7" t="inlineStr">
        <is>
          <t>Facebook</t>
        </is>
      </c>
      <c r="E153" s="7" t="inlineStr">
        <is>
          <t>Behind the scenes</t>
        </is>
      </c>
      <c r="F153" s="7" t="n"/>
      <c r="G153" s="7" t="n"/>
      <c r="H153" s="7" t="inlineStr">
        <is>
          <t>Idea</t>
        </is>
      </c>
      <c r="I153" s="7" t="n"/>
    </row>
    <row r="154">
      <c r="A154" s="8">
        <f>DATE(Settings!$C$9,1,1)+MOD(7-WEEKDAY(DATE(Settings!$C$9,1,1),3),7)+354</f>
        <v/>
      </c>
      <c r="B154" s="7">
        <f>TEXT(A154,"dddd")</f>
        <v/>
      </c>
      <c r="C154" s="7">
        <f>TEXT(A154,"mmmm")</f>
        <v/>
      </c>
      <c r="D154" s="7" t="inlineStr">
        <is>
          <t>Instagram</t>
        </is>
      </c>
      <c r="E154" s="7" t="inlineStr">
        <is>
          <t>Social proof</t>
        </is>
      </c>
      <c r="F154" s="7" t="n"/>
      <c r="G154" s="7" t="n"/>
      <c r="H154" s="7" t="inlineStr">
        <is>
          <t>Idea</t>
        </is>
      </c>
      <c r="I154" s="7" t="n"/>
    </row>
    <row r="155">
      <c r="A155" s="8">
        <f>DATE(Settings!$C$9,1,1)+MOD(7-WEEKDAY(DATE(Settings!$C$9,1,1),3),7)+357</f>
        <v/>
      </c>
      <c r="B155" s="7">
        <f>TEXT(A155,"dddd")</f>
        <v/>
      </c>
      <c r="C155" s="7">
        <f>TEXT(A155,"mmmm")</f>
        <v/>
      </c>
      <c r="D155" s="7" t="inlineStr">
        <is>
          <t>Instagram</t>
        </is>
      </c>
      <c r="E155" s="7" t="inlineStr">
        <is>
          <t>Offer / promo</t>
        </is>
      </c>
      <c r="F155" s="7" t="n"/>
      <c r="G155" s="7" t="n"/>
      <c r="H155" s="7" t="inlineStr">
        <is>
          <t>Idea</t>
        </is>
      </c>
      <c r="I155" s="7" t="n"/>
    </row>
    <row r="156">
      <c r="A156" s="8">
        <f>DATE(Settings!$C$9,1,1)+MOD(7-WEEKDAY(DATE(Settings!$C$9,1,1),3),7)+359</f>
        <v/>
      </c>
      <c r="B156" s="7">
        <f>TEXT(A156,"dddd")</f>
        <v/>
      </c>
      <c r="C156" s="7">
        <f>TEXT(A156,"mmmm")</f>
        <v/>
      </c>
      <c r="D156" s="7" t="inlineStr">
        <is>
          <t>Facebook</t>
        </is>
      </c>
      <c r="E156" s="7" t="inlineStr">
        <is>
          <t>Personal story</t>
        </is>
      </c>
      <c r="F156" s="7" t="n"/>
      <c r="G156" s="7" t="n"/>
      <c r="H156" s="7" t="inlineStr">
        <is>
          <t>Idea</t>
        </is>
      </c>
      <c r="I156" s="7" t="n"/>
    </row>
    <row r="157">
      <c r="A157" s="8">
        <f>DATE(Settings!$C$9,1,1)+MOD(7-WEEKDAY(DATE(Settings!$C$9,1,1),3),7)+361</f>
        <v/>
      </c>
      <c r="B157" s="7">
        <f>TEXT(A157,"dddd")</f>
        <v/>
      </c>
      <c r="C157" s="7">
        <f>TEXT(A157,"mmmm")</f>
        <v/>
      </c>
      <c r="D157" s="7" t="inlineStr">
        <is>
          <t>Instagram</t>
        </is>
      </c>
      <c r="E157" s="7" t="inlineStr">
        <is>
          <t>Engage / community</t>
        </is>
      </c>
      <c r="F157" s="7" t="n"/>
      <c r="G157" s="7" t="n"/>
      <c r="H157" s="7" t="inlineStr">
        <is>
          <t>Idea</t>
        </is>
      </c>
      <c r="I157" s="7" t="n"/>
    </row>
  </sheetData>
  <autoFilter ref="A1:I157"/>
  <conditionalFormatting sqref="H2:H157">
    <cfRule type="cellIs" priority="1" operator="equal" dxfId="1">
      <formula>"Posted"</formula>
    </cfRule>
    <cfRule type="cellIs" priority="2" operator="equal" dxfId="2">
      <formula>"Scheduled"</formula>
    </cfRule>
    <cfRule type="cellIs" priority="3" operator="equal" dxfId="3">
      <formula>"Drafting"</formula>
    </cfRule>
  </conditionalFormatting>
  <dataValidations count="3">
    <dataValidation sqref="D2:D157" showDropDown="0" showInputMessage="0" showErrorMessage="0" allowBlank="1" type="list">
      <formula1>"Instagram,Facebook,TikTok,LinkedIn,Pinterest,Email,Blog,YouTube"</formula1>
    </dataValidation>
    <dataValidation sqref="E2:E157" showDropDown="0" showInputMessage="0" showErrorMessage="0" allowBlank="1" type="list">
      <formula1>"Educate,Behind the scenes,Social proof,Offer / promo,Personal story,Engage / community"</formula1>
    </dataValidation>
    <dataValidation sqref="H2:H157" showDropDown="0" showInputMessage="0" showErrorMessage="0" allowBlank="1" type="list">
      <formula1>"Idea,Drafting,Scheduled,Posted"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8" customWidth="1" min="10" max="10"/>
  </cols>
  <sheetData>
    <row r="2">
      <c r="B2" s="9" t="inlineStr">
        <is>
          <t>Weekly Planner</t>
        </is>
      </c>
    </row>
    <row r="3">
      <c r="B3" t="inlineStr">
        <is>
          <t>Week of:</t>
        </is>
      </c>
    </row>
    <row r="5">
      <c r="B5" s="2" t="inlineStr">
        <is>
          <t>Top 3 priorities</t>
        </is>
      </c>
    </row>
    <row r="6">
      <c r="B6" t="inlineStr">
        <is>
          <t>1.</t>
        </is>
      </c>
    </row>
    <row r="7">
      <c r="B7" t="inlineStr">
        <is>
          <t>2.</t>
        </is>
      </c>
    </row>
    <row r="8">
      <c r="B8" t="inlineStr">
        <is>
          <t>3.</t>
        </is>
      </c>
    </row>
    <row r="10">
      <c r="B10" s="10" t="inlineStr">
        <is>
          <t>Time block</t>
        </is>
      </c>
      <c r="C10" s="10" t="inlineStr">
        <is>
          <t>Monday</t>
        </is>
      </c>
      <c r="D10" s="10" t="inlineStr">
        <is>
          <t>Tuesday</t>
        </is>
      </c>
      <c r="E10" s="10" t="inlineStr">
        <is>
          <t>Wednesday</t>
        </is>
      </c>
      <c r="F10" s="10" t="inlineStr">
        <is>
          <t>Thursday</t>
        </is>
      </c>
      <c r="G10" s="10" t="inlineStr">
        <is>
          <t>Friday</t>
        </is>
      </c>
      <c r="H10" s="10" t="inlineStr">
        <is>
          <t>Saturday</t>
        </is>
      </c>
      <c r="I10" s="10" t="inlineStr">
        <is>
          <t>Sunday</t>
        </is>
      </c>
    </row>
    <row r="11" ht="34" customHeight="1">
      <c r="B11" s="11" t="inlineStr">
        <is>
          <t>Deep work (9-11)</t>
        </is>
      </c>
      <c r="C11" s="12" t="n"/>
      <c r="D11" s="12" t="n"/>
      <c r="E11" s="12" t="n"/>
      <c r="F11" s="12" t="n"/>
      <c r="G11" s="12" t="n"/>
      <c r="H11" s="12" t="n"/>
      <c r="I11" s="12" t="n"/>
    </row>
    <row r="12" ht="34" customHeight="1">
      <c r="B12" s="11" t="inlineStr">
        <is>
          <t>Admin / email (11-12)</t>
        </is>
      </c>
      <c r="C12" s="12" t="n"/>
      <c r="D12" s="12" t="n"/>
      <c r="E12" s="12" t="n"/>
      <c r="F12" s="12" t="n"/>
      <c r="G12" s="12" t="n"/>
      <c r="H12" s="12" t="n"/>
      <c r="I12" s="12" t="n"/>
    </row>
    <row r="13" ht="34" customHeight="1">
      <c r="B13" s="11" t="inlineStr">
        <is>
          <t>Content (1-3)</t>
        </is>
      </c>
      <c r="C13" s="12" t="n"/>
      <c r="D13" s="12" t="n"/>
      <c r="E13" s="12" t="n"/>
      <c r="F13" s="12" t="n"/>
      <c r="G13" s="12" t="n"/>
      <c r="H13" s="12" t="n"/>
      <c r="I13" s="12" t="n"/>
    </row>
    <row r="14" ht="34" customHeight="1">
      <c r="B14" s="11" t="inlineStr">
        <is>
          <t>Sales / outreach (3-4)</t>
        </is>
      </c>
      <c r="C14" s="12" t="n"/>
      <c r="D14" s="12" t="n"/>
      <c r="E14" s="12" t="n"/>
      <c r="F14" s="12" t="n"/>
      <c r="G14" s="12" t="n"/>
      <c r="H14" s="12" t="n"/>
      <c r="I14" s="12" t="n"/>
    </row>
    <row r="15" ht="34" customHeight="1">
      <c r="B15" s="11" t="inlineStr">
        <is>
          <t>Learning (4-5)</t>
        </is>
      </c>
      <c r="C15" s="12" t="n"/>
      <c r="D15" s="12" t="n"/>
      <c r="E15" s="12" t="n"/>
      <c r="F15" s="12" t="n"/>
      <c r="G15" s="12" t="n"/>
      <c r="H15" s="12" t="n"/>
      <c r="I15" s="12" t="n"/>
    </row>
    <row r="17">
      <c r="B17" s="2" t="inlineStr">
        <is>
          <t>Habit tracker (type x)</t>
        </is>
      </c>
      <c r="C17" s="2" t="inlineStr">
        <is>
          <t>Mon</t>
        </is>
      </c>
      <c r="D17" s="2" t="inlineStr">
        <is>
          <t>Tue</t>
        </is>
      </c>
      <c r="E17" s="2" t="inlineStr">
        <is>
          <t>Wed</t>
        </is>
      </c>
      <c r="F17" s="2" t="inlineStr">
        <is>
          <t>Thu</t>
        </is>
      </c>
      <c r="G17" s="2" t="inlineStr">
        <is>
          <t>Fri</t>
        </is>
      </c>
      <c r="H17" s="2" t="inlineStr">
        <is>
          <t>Sat</t>
        </is>
      </c>
      <c r="I17" s="2" t="inlineStr">
        <is>
          <t>Sun</t>
        </is>
      </c>
      <c r="J17" s="2" t="inlineStr">
        <is>
          <t>Total</t>
        </is>
      </c>
    </row>
    <row r="18">
      <c r="B18" t="inlineStr">
        <is>
          <t>Posted content</t>
        </is>
      </c>
      <c r="C18" s="13" t="n"/>
      <c r="D18" s="13" t="n"/>
      <c r="E18" s="13" t="n"/>
      <c r="F18" s="13" t="n"/>
      <c r="G18" s="13" t="n"/>
      <c r="H18" s="13" t="n"/>
      <c r="I18" s="13" t="n"/>
      <c r="J18">
        <f>COUNTIF(C18:I18,"x")</f>
        <v/>
      </c>
    </row>
    <row r="19">
      <c r="B19" t="inlineStr">
        <is>
          <t>Replied to messages</t>
        </is>
      </c>
      <c r="C19" s="13" t="n"/>
      <c r="D19" s="13" t="n"/>
      <c r="E19" s="13" t="n"/>
      <c r="F19" s="13" t="n"/>
      <c r="G19" s="13" t="n"/>
      <c r="H19" s="13" t="n"/>
      <c r="I19" s="13" t="n"/>
      <c r="J19">
        <f>COUNTIF(C19:I19,"x")</f>
        <v/>
      </c>
    </row>
    <row r="20">
      <c r="B20" t="inlineStr">
        <is>
          <t>Tracked money</t>
        </is>
      </c>
      <c r="C20" s="13" t="n"/>
      <c r="D20" s="13" t="n"/>
      <c r="E20" s="13" t="n"/>
      <c r="F20" s="13" t="n"/>
      <c r="G20" s="13" t="n"/>
      <c r="H20" s="13" t="n"/>
      <c r="I20" s="13" t="n"/>
      <c r="J20">
        <f>COUNTIF(C20:I20,"x")</f>
        <v/>
      </c>
    </row>
    <row r="21">
      <c r="B21" t="inlineStr">
        <is>
          <t>Moved / walked</t>
        </is>
      </c>
      <c r="C21" s="13" t="n"/>
      <c r="D21" s="13" t="n"/>
      <c r="E21" s="13" t="n"/>
      <c r="F21" s="13" t="n"/>
      <c r="G21" s="13" t="n"/>
      <c r="H21" s="13" t="n"/>
      <c r="I21" s="13" t="n"/>
      <c r="J21">
        <f>COUNTIF(C21:I21,"x")</f>
        <v/>
      </c>
    </row>
    <row r="22">
      <c r="B22" t="inlineStr">
        <is>
          <t>Learned something</t>
        </is>
      </c>
      <c r="C22" s="13" t="n"/>
      <c r="D22" s="13" t="n"/>
      <c r="E22" s="13" t="n"/>
      <c r="F22" s="13" t="n"/>
      <c r="G22" s="13" t="n"/>
      <c r="H22" s="13" t="n"/>
      <c r="I22" s="13" t="n"/>
      <c r="J22">
        <f>COUNTIF(C22:I22,"x")</f>
        <v/>
      </c>
    </row>
    <row r="24">
      <c r="B24" s="2" t="inlineStr">
        <is>
          <t>Wins this week</t>
        </is>
      </c>
    </row>
    <row r="25"/>
    <row r="26"/>
    <row r="27"/>
  </sheetData>
  <mergeCells count="4">
    <mergeCell ref="C6:H6"/>
    <mergeCell ref="C8:H8"/>
    <mergeCell ref="C7:H7"/>
    <mergeCell ref="B25:I2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3" customWidth="1" min="14" max="14"/>
  </cols>
  <sheetData>
    <row r="1">
      <c r="A1" s="9" t="inlineStr">
        <is>
          <t>Monthly Budget Tracker</t>
        </is>
      </c>
    </row>
    <row r="3">
      <c r="A3" s="6" t="inlineStr">
        <is>
          <t>Category</t>
        </is>
      </c>
      <c r="B3" s="6" t="inlineStr">
        <is>
          <t>Jan</t>
        </is>
      </c>
      <c r="C3" s="6" t="inlineStr">
        <is>
          <t>Feb</t>
        </is>
      </c>
      <c r="D3" s="6" t="inlineStr">
        <is>
          <t>Mar</t>
        </is>
      </c>
      <c r="E3" s="6" t="inlineStr">
        <is>
          <t>Apr</t>
        </is>
      </c>
      <c r="F3" s="6" t="inlineStr">
        <is>
          <t>May</t>
        </is>
      </c>
      <c r="G3" s="6" t="inlineStr">
        <is>
          <t>Jun</t>
        </is>
      </c>
      <c r="H3" s="6" t="inlineStr">
        <is>
          <t>Jul</t>
        </is>
      </c>
      <c r="I3" s="6" t="inlineStr">
        <is>
          <t>Aug</t>
        </is>
      </c>
      <c r="J3" s="6" t="inlineStr">
        <is>
          <t>Sep</t>
        </is>
      </c>
      <c r="K3" s="6" t="inlineStr">
        <is>
          <t>Oct</t>
        </is>
      </c>
      <c r="L3" s="6" t="inlineStr">
        <is>
          <t>Nov</t>
        </is>
      </c>
      <c r="M3" s="6" t="inlineStr">
        <is>
          <t>Dec</t>
        </is>
      </c>
      <c r="N3" s="6" t="inlineStr">
        <is>
          <t>Total</t>
        </is>
      </c>
    </row>
    <row r="4">
      <c r="A4" s="14" t="inlineStr">
        <is>
          <t>INCOME</t>
        </is>
      </c>
      <c r="B4" s="15" t="n"/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</row>
    <row r="5">
      <c r="A5" t="inlineStr">
        <is>
          <t>Product sales</t>
        </is>
      </c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7">
        <f>SUM(B5:M5)</f>
        <v/>
      </c>
    </row>
    <row r="6">
      <c r="A6" t="inlineStr">
        <is>
          <t>Services / clients</t>
        </is>
      </c>
      <c r="B6" s="16" t="n"/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7">
        <f>SUM(B6:M6)</f>
        <v/>
      </c>
    </row>
    <row r="7">
      <c r="A7" t="inlineStr">
        <is>
          <t>Affiliate / other</t>
        </is>
      </c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7">
        <f>SUM(B7:M7)</f>
        <v/>
      </c>
    </row>
    <row r="8">
      <c r="A8" s="2" t="inlineStr">
        <is>
          <t>Total income</t>
        </is>
      </c>
      <c r="B8" s="18">
        <f>SUM(B5:B7)</f>
        <v/>
      </c>
      <c r="C8" s="18">
        <f>SUM(C5:C7)</f>
        <v/>
      </c>
      <c r="D8" s="18">
        <f>SUM(D5:D7)</f>
        <v/>
      </c>
      <c r="E8" s="18">
        <f>SUM(E5:E7)</f>
        <v/>
      </c>
      <c r="F8" s="18">
        <f>SUM(F5:F7)</f>
        <v/>
      </c>
      <c r="G8" s="18">
        <f>SUM(G5:G7)</f>
        <v/>
      </c>
      <c r="H8" s="18">
        <f>SUM(H5:H7)</f>
        <v/>
      </c>
      <c r="I8" s="18">
        <f>SUM(I5:I7)</f>
        <v/>
      </c>
      <c r="J8" s="18">
        <f>SUM(J5:J7)</f>
        <v/>
      </c>
      <c r="K8" s="18">
        <f>SUM(K5:K7)</f>
        <v/>
      </c>
      <c r="L8" s="18">
        <f>SUM(L5:L7)</f>
        <v/>
      </c>
      <c r="M8" s="18">
        <f>SUM(M5:M7)</f>
        <v/>
      </c>
      <c r="N8" s="18">
        <f>SUM(N5:N7)</f>
        <v/>
      </c>
    </row>
    <row r="10">
      <c r="A10" s="14" t="inlineStr">
        <is>
          <t>EXPENSES</t>
        </is>
      </c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</row>
    <row r="11">
      <c r="A11" t="inlineStr">
        <is>
          <t>Software &amp; tools</t>
        </is>
      </c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7">
        <f>SUM(B11:M11)</f>
        <v/>
      </c>
    </row>
    <row r="12">
      <c r="A12" t="inlineStr">
        <is>
          <t>Advertising</t>
        </is>
      </c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7">
        <f>SUM(B12:M12)</f>
        <v/>
      </c>
    </row>
    <row r="13">
      <c r="A13" t="inlineStr">
        <is>
          <t>Fees (platform, payment)</t>
        </is>
      </c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7">
        <f>SUM(B13:M13)</f>
        <v/>
      </c>
    </row>
    <row r="14">
      <c r="A14" t="inlineStr">
        <is>
          <t>Contractors</t>
        </is>
      </c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7">
        <f>SUM(B14:M14)</f>
        <v/>
      </c>
    </row>
    <row r="15">
      <c r="A15" t="inlineStr">
        <is>
          <t>Equipment</t>
        </is>
      </c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7">
        <f>SUM(B15:M15)</f>
        <v/>
      </c>
    </row>
    <row r="16">
      <c r="A16" t="inlineStr">
        <is>
          <t>Education</t>
        </is>
      </c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7">
        <f>SUM(B16:M16)</f>
        <v/>
      </c>
    </row>
    <row r="17">
      <c r="A17" t="inlineStr">
        <is>
          <t>Other</t>
        </is>
      </c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7">
        <f>SUM(B17:M17)</f>
        <v/>
      </c>
    </row>
    <row r="18">
      <c r="A18" s="2" t="inlineStr">
        <is>
          <t>Total expenses</t>
        </is>
      </c>
      <c r="B18" s="18">
        <f>SUM(B11:B17)</f>
        <v/>
      </c>
      <c r="C18" s="18">
        <f>SUM(C11:C17)</f>
        <v/>
      </c>
      <c r="D18" s="18">
        <f>SUM(D11:D17)</f>
        <v/>
      </c>
      <c r="E18" s="18">
        <f>SUM(E11:E17)</f>
        <v/>
      </c>
      <c r="F18" s="18">
        <f>SUM(F11:F17)</f>
        <v/>
      </c>
      <c r="G18" s="18">
        <f>SUM(G11:G17)</f>
        <v/>
      </c>
      <c r="H18" s="18">
        <f>SUM(H11:H17)</f>
        <v/>
      </c>
      <c r="I18" s="18">
        <f>SUM(I11:I17)</f>
        <v/>
      </c>
      <c r="J18" s="18">
        <f>SUM(J11:J17)</f>
        <v/>
      </c>
      <c r="K18" s="18">
        <f>SUM(K11:K17)</f>
        <v/>
      </c>
      <c r="L18" s="18">
        <f>SUM(L11:L17)</f>
        <v/>
      </c>
      <c r="M18" s="18">
        <f>SUM(M11:M17)</f>
        <v/>
      </c>
      <c r="N18" s="18">
        <f>SUM(N11:N17)</f>
        <v/>
      </c>
    </row>
    <row r="20">
      <c r="A20" s="19" t="inlineStr">
        <is>
          <t>PROFIT</t>
        </is>
      </c>
      <c r="B20" s="18">
        <f>B8-B18</f>
        <v/>
      </c>
      <c r="C20" s="18">
        <f>C8-C18</f>
        <v/>
      </c>
      <c r="D20" s="18">
        <f>D8-D18</f>
        <v/>
      </c>
      <c r="E20" s="18">
        <f>E8-E18</f>
        <v/>
      </c>
      <c r="F20" s="18">
        <f>F8-F18</f>
        <v/>
      </c>
      <c r="G20" s="18">
        <f>G8-G18</f>
        <v/>
      </c>
      <c r="H20" s="18">
        <f>H8-H18</f>
        <v/>
      </c>
      <c r="I20" s="18">
        <f>I8-I18</f>
        <v/>
      </c>
      <c r="J20" s="18">
        <f>J8-J18</f>
        <v/>
      </c>
      <c r="K20" s="18">
        <f>K8-K18</f>
        <v/>
      </c>
      <c r="L20" s="18">
        <f>L8-L18</f>
        <v/>
      </c>
      <c r="M20" s="18">
        <f>M8-M18</f>
        <v/>
      </c>
      <c r="N20" s="18">
        <f>N8-N18</f>
        <v/>
      </c>
    </row>
    <row r="21">
      <c r="A21" t="inlineStr">
        <is>
          <t>Profit margin</t>
        </is>
      </c>
      <c r="B21" s="20">
        <f>IF(B8=0,"",B20/B8)</f>
        <v/>
      </c>
      <c r="C21" s="20">
        <f>IF(C8=0,"",C20/C8)</f>
        <v/>
      </c>
      <c r="D21" s="20">
        <f>IF(D8=0,"",D20/D8)</f>
        <v/>
      </c>
      <c r="E21" s="20">
        <f>IF(E8=0,"",E20/E8)</f>
        <v/>
      </c>
      <c r="F21" s="20">
        <f>IF(F8=0,"",F20/F8)</f>
        <v/>
      </c>
      <c r="G21" s="20">
        <f>IF(G8=0,"",G20/G8)</f>
        <v/>
      </c>
      <c r="H21" s="20">
        <f>IF(H8=0,"",H20/H8)</f>
        <v/>
      </c>
      <c r="I21" s="20">
        <f>IF(I8=0,"",I20/I8)</f>
        <v/>
      </c>
      <c r="J21" s="20">
        <f>IF(J8=0,"",J20/J8)</f>
        <v/>
      </c>
      <c r="K21" s="20">
        <f>IF(K8=0,"",K20/K8)</f>
        <v/>
      </c>
      <c r="L21" s="20">
        <f>IF(L8=0,"",L20/L8)</f>
        <v/>
      </c>
      <c r="M21" s="20">
        <f>IF(M8=0,"",M20/M8)</f>
        <v/>
      </c>
      <c r="N21" s="20">
        <f>IF(N8=0,"",N20/N8)</f>
        <v/>
      </c>
    </row>
  </sheetData>
  <conditionalFormatting sqref="B20:N20">
    <cfRule type="cellIs" priority="1" operator="lessThan" dxfId="4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30" customWidth="1" min="4" max="4"/>
    <col width="9" customWidth="1" min="5" max="5"/>
    <col width="9" customWidth="1" min="6" max="6"/>
    <col width="10" customWidth="1" min="7" max="7"/>
    <col width="9" customWidth="1" min="8" max="8"/>
    <col width="9" customWidth="1" min="9" max="9"/>
    <col width="9" customWidth="1" min="10" max="10"/>
    <col width="14" customWidth="1" min="11" max="11"/>
    <col width="3" customWidth="1" min="12" max="12"/>
    <col width="20" customWidth="1" min="13" max="13"/>
    <col width="8" customWidth="1" min="14" max="14"/>
    <col width="15" customWidth="1" min="15" max="15"/>
    <col width="8" customWidth="1" min="16" max="16"/>
  </cols>
  <sheetData>
    <row r="1">
      <c r="A1" s="6" t="inlineStr">
        <is>
          <t>Date</t>
        </is>
      </c>
      <c r="B1" s="6" t="inlineStr">
        <is>
          <t>Platform</t>
        </is>
      </c>
      <c r="C1" s="6" t="inlineStr">
        <is>
          <t>Pillar</t>
        </is>
      </c>
      <c r="D1" s="6" t="inlineStr">
        <is>
          <t>Topic</t>
        </is>
      </c>
      <c r="E1" s="6" t="inlineStr">
        <is>
          <t>Reach</t>
        </is>
      </c>
      <c r="F1" s="6" t="inlineStr">
        <is>
          <t>Likes</t>
        </is>
      </c>
      <c r="G1" s="6" t="inlineStr">
        <is>
          <t>Comments</t>
        </is>
      </c>
      <c r="H1" s="6" t="inlineStr">
        <is>
          <t>Shares</t>
        </is>
      </c>
      <c r="I1" s="6" t="inlineStr">
        <is>
          <t>Clicks</t>
        </is>
      </c>
      <c r="J1" s="6" t="inlineStr">
        <is>
          <t>Sales</t>
        </is>
      </c>
      <c r="K1" s="6" t="inlineStr">
        <is>
          <t>Engagement rate</t>
        </is>
      </c>
      <c r="M1" s="21" t="inlineStr">
        <is>
          <t>Pillar</t>
        </is>
      </c>
      <c r="N1" s="21" t="inlineStr">
        <is>
          <t>Posts</t>
        </is>
      </c>
      <c r="O1" s="21" t="inlineStr">
        <is>
          <t>Avg engagement</t>
        </is>
      </c>
      <c r="P1" s="21" t="inlineStr">
        <is>
          <t>Sales</t>
        </is>
      </c>
    </row>
    <row r="2">
      <c r="A2" s="13" t="n"/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22">
        <f>IF(E2=0,"",(F2+G2+H2)/E2)</f>
        <v/>
      </c>
      <c r="M2" t="inlineStr">
        <is>
          <t>Educate</t>
        </is>
      </c>
      <c r="N2">
        <f>COUNTIF($C$2:$C$201,M2)</f>
        <v/>
      </c>
      <c r="O2" s="23">
        <f>IFERROR(AVERAGEIF($C$2:$C$201,M2,$K$2:$K$201),"")</f>
        <v/>
      </c>
      <c r="P2">
        <f>SUMIF($C$2:$C$201,M2,$J$2:$J$201)</f>
        <v/>
      </c>
    </row>
    <row r="3">
      <c r="A3" s="13" t="n"/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22">
        <f>IF(E3=0,"",(F3+G3+H3)/E3)</f>
        <v/>
      </c>
      <c r="M3" t="inlineStr">
        <is>
          <t>Behind the scenes</t>
        </is>
      </c>
      <c r="N3">
        <f>COUNTIF($C$2:$C$201,M3)</f>
        <v/>
      </c>
      <c r="O3" s="23">
        <f>IFERROR(AVERAGEIF($C$2:$C$201,M3,$K$2:$K$201),"")</f>
        <v/>
      </c>
      <c r="P3">
        <f>SUMIF($C$2:$C$201,M3,$J$2:$J$201)</f>
        <v/>
      </c>
    </row>
    <row r="4">
      <c r="A4" s="13" t="n"/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22">
        <f>IF(E4=0,"",(F4+G4+H4)/E4)</f>
        <v/>
      </c>
      <c r="M4" t="inlineStr">
        <is>
          <t>Social proof</t>
        </is>
      </c>
      <c r="N4">
        <f>COUNTIF($C$2:$C$201,M4)</f>
        <v/>
      </c>
      <c r="O4" s="23">
        <f>IFERROR(AVERAGEIF($C$2:$C$201,M4,$K$2:$K$201),"")</f>
        <v/>
      </c>
      <c r="P4">
        <f>SUMIF($C$2:$C$201,M4,$J$2:$J$201)</f>
        <v/>
      </c>
    </row>
    <row r="5">
      <c r="A5" s="13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22">
        <f>IF(E5=0,"",(F5+G5+H5)/E5)</f>
        <v/>
      </c>
      <c r="M5" t="inlineStr">
        <is>
          <t>Offer / promo</t>
        </is>
      </c>
      <c r="N5">
        <f>COUNTIF($C$2:$C$201,M5)</f>
        <v/>
      </c>
      <c r="O5" s="23">
        <f>IFERROR(AVERAGEIF($C$2:$C$201,M5,$K$2:$K$201),"")</f>
        <v/>
      </c>
      <c r="P5">
        <f>SUMIF($C$2:$C$201,M5,$J$2:$J$201)</f>
        <v/>
      </c>
    </row>
    <row r="6">
      <c r="A6" s="13" t="n"/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22">
        <f>IF(E6=0,"",(F6+G6+H6)/E6)</f>
        <v/>
      </c>
      <c r="M6" t="inlineStr">
        <is>
          <t>Personal story</t>
        </is>
      </c>
      <c r="N6">
        <f>COUNTIF($C$2:$C$201,M6)</f>
        <v/>
      </c>
      <c r="O6" s="23">
        <f>IFERROR(AVERAGEIF($C$2:$C$201,M6,$K$2:$K$201),"")</f>
        <v/>
      </c>
      <c r="P6">
        <f>SUMIF($C$2:$C$201,M6,$J$2:$J$201)</f>
        <v/>
      </c>
    </row>
    <row r="7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22">
        <f>IF(E7=0,"",(F7+G7+H7)/E7)</f>
        <v/>
      </c>
      <c r="M7" t="inlineStr">
        <is>
          <t>Engage / community</t>
        </is>
      </c>
      <c r="N7">
        <f>COUNTIF($C$2:$C$201,M7)</f>
        <v/>
      </c>
      <c r="O7" s="23">
        <f>IFERROR(AVERAGEIF($C$2:$C$201,M7,$K$2:$K$201),"")</f>
        <v/>
      </c>
      <c r="P7">
        <f>SUMIF($C$2:$C$201,M7,$J$2:$J$201)</f>
        <v/>
      </c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22">
        <f>IF(E8=0,"",(F8+G8+H8)/E8)</f>
        <v/>
      </c>
    </row>
    <row r="9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22">
        <f>IF(E9=0,"",(F9+G9+H9)/E9)</f>
        <v/>
      </c>
      <c r="M9" s="2" t="inlineStr">
        <is>
          <t>Best pillar</t>
        </is>
      </c>
      <c r="N9">
        <f>IFERROR(INDEX(M2:M7,MATCH(MAX(O2:O7),O2:O7,0)),"")</f>
        <v/>
      </c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22">
        <f>IF(E10=0,"",(F10+G10+H10)/E10)</f>
        <v/>
      </c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22">
        <f>IF(E11=0,"",(F11+G11+H11)/E11)</f>
        <v/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22">
        <f>IF(E12=0,"",(F12+G12+H12)/E12)</f>
        <v/>
      </c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22">
        <f>IF(E13=0,"",(F13+G13+H13)/E13)</f>
        <v/>
      </c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22">
        <f>IF(E14=0,"",(F14+G14+H14)/E14)</f>
        <v/>
      </c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22">
        <f>IF(E15=0,"",(F15+G15+H15)/E15)</f>
        <v/>
      </c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22">
        <f>IF(E16=0,"",(F16+G16+H16)/E16)</f>
        <v/>
      </c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22">
        <f>IF(E17=0,"",(F17+G17+H17)/E17)</f>
        <v/>
      </c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22">
        <f>IF(E18=0,"",(F18+G18+H18)/E18)</f>
        <v/>
      </c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22">
        <f>IF(E19=0,"",(F19+G19+H19)/E19)</f>
        <v/>
      </c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22">
        <f>IF(E20=0,"",(F20+G20+H20)/E20)</f>
        <v/>
      </c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22">
        <f>IF(E21=0,"",(F21+G21+H21)/E21)</f>
        <v/>
      </c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22">
        <f>IF(E22=0,"",(F22+G22+H22)/E22)</f>
        <v/>
      </c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22">
        <f>IF(E23=0,"",(F23+G23+H23)/E23)</f>
        <v/>
      </c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22">
        <f>IF(E24=0,"",(F24+G24+H24)/E24)</f>
        <v/>
      </c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22">
        <f>IF(E25=0,"",(F25+G25+H25)/E25)</f>
        <v/>
      </c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22">
        <f>IF(E26=0,"",(F26+G26+H26)/E26)</f>
        <v/>
      </c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22">
        <f>IF(E27=0,"",(F27+G27+H27)/E27)</f>
        <v/>
      </c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22">
        <f>IF(E28=0,"",(F28+G28+H28)/E28)</f>
        <v/>
      </c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22">
        <f>IF(E29=0,"",(F29+G29+H29)/E29)</f>
        <v/>
      </c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22">
        <f>IF(E30=0,"",(F30+G30+H30)/E30)</f>
        <v/>
      </c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22">
        <f>IF(E31=0,"",(F31+G31+H31)/E31)</f>
        <v/>
      </c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22">
        <f>IF(E32=0,"",(F32+G32+H32)/E32)</f>
        <v/>
      </c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22">
        <f>IF(E33=0,"",(F33+G33+H33)/E33)</f>
        <v/>
      </c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22">
        <f>IF(E34=0,"",(F34+G34+H34)/E34)</f>
        <v/>
      </c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22">
        <f>IF(E35=0,"",(F35+G35+H35)/E35)</f>
        <v/>
      </c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22">
        <f>IF(E36=0,"",(F36+G36+H36)/E36)</f>
        <v/>
      </c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22">
        <f>IF(E37=0,"",(F37+G37+H37)/E37)</f>
        <v/>
      </c>
    </row>
    <row r="38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22">
        <f>IF(E38=0,"",(F38+G38+H38)/E38)</f>
        <v/>
      </c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22">
        <f>IF(E39=0,"",(F39+G39+H39)/E39)</f>
        <v/>
      </c>
    </row>
    <row r="40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22">
        <f>IF(E40=0,"",(F40+G40+H40)/E40)</f>
        <v/>
      </c>
    </row>
    <row r="4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22">
        <f>IF(E41=0,"",(F41+G41+H41)/E41)</f>
        <v/>
      </c>
    </row>
    <row r="42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22">
        <f>IF(E42=0,"",(F42+G42+H42)/E42)</f>
        <v/>
      </c>
    </row>
    <row r="43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22">
        <f>IF(E43=0,"",(F43+G43+H43)/E43)</f>
        <v/>
      </c>
    </row>
    <row r="44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22">
        <f>IF(E44=0,"",(F44+G44+H44)/E44)</f>
        <v/>
      </c>
    </row>
    <row r="45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22">
        <f>IF(E45=0,"",(F45+G45+H45)/E45)</f>
        <v/>
      </c>
    </row>
    <row r="46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22">
        <f>IF(E46=0,"",(F46+G46+H46)/E46)</f>
        <v/>
      </c>
    </row>
    <row r="47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22">
        <f>IF(E47=0,"",(F47+G47+H47)/E47)</f>
        <v/>
      </c>
    </row>
    <row r="48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22">
        <f>IF(E48=0,"",(F48+G48+H48)/E48)</f>
        <v/>
      </c>
    </row>
    <row r="49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22">
        <f>IF(E49=0,"",(F49+G49+H49)/E49)</f>
        <v/>
      </c>
    </row>
    <row r="50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22">
        <f>IF(E50=0,"",(F50+G50+H50)/E50)</f>
        <v/>
      </c>
    </row>
    <row r="5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22">
        <f>IF(E51=0,"",(F51+G51+H51)/E51)</f>
        <v/>
      </c>
    </row>
    <row r="52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22">
        <f>IF(E52=0,"",(F52+G52+H52)/E52)</f>
        <v/>
      </c>
    </row>
    <row r="53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22">
        <f>IF(E53=0,"",(F53+G53+H53)/E53)</f>
        <v/>
      </c>
    </row>
    <row r="54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22">
        <f>IF(E54=0,"",(F54+G54+H54)/E54)</f>
        <v/>
      </c>
    </row>
    <row r="55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22">
        <f>IF(E55=0,"",(F55+G55+H55)/E55)</f>
        <v/>
      </c>
    </row>
    <row r="56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22">
        <f>IF(E56=0,"",(F56+G56+H56)/E56)</f>
        <v/>
      </c>
    </row>
    <row r="57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22">
        <f>IF(E57=0,"",(F57+G57+H57)/E57)</f>
        <v/>
      </c>
    </row>
    <row r="58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22">
        <f>IF(E58=0,"",(F58+G58+H58)/E58)</f>
        <v/>
      </c>
    </row>
    <row r="59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22">
        <f>IF(E59=0,"",(F59+G59+H59)/E59)</f>
        <v/>
      </c>
    </row>
    <row r="60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22">
        <f>IF(E60=0,"",(F60+G60+H60)/E60)</f>
        <v/>
      </c>
    </row>
    <row r="6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22">
        <f>IF(E61=0,"",(F61+G61+H61)/E61)</f>
        <v/>
      </c>
    </row>
    <row r="62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22">
        <f>IF(E62=0,"",(F62+G62+H62)/E62)</f>
        <v/>
      </c>
    </row>
    <row r="63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22">
        <f>IF(E63=0,"",(F63+G63+H63)/E63)</f>
        <v/>
      </c>
    </row>
    <row r="64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22">
        <f>IF(E64=0,"",(F64+G64+H64)/E64)</f>
        <v/>
      </c>
    </row>
    <row r="65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22">
        <f>IF(E65=0,"",(F65+G65+H65)/E65)</f>
        <v/>
      </c>
    </row>
    <row r="66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22">
        <f>IF(E66=0,"",(F66+G66+H66)/E66)</f>
        <v/>
      </c>
    </row>
    <row r="67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22">
        <f>IF(E67=0,"",(F67+G67+H67)/E67)</f>
        <v/>
      </c>
    </row>
    <row r="68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22">
        <f>IF(E68=0,"",(F68+G68+H68)/E68)</f>
        <v/>
      </c>
    </row>
    <row r="69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22">
        <f>IF(E69=0,"",(F69+G69+H69)/E69)</f>
        <v/>
      </c>
    </row>
    <row r="70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22">
        <f>IF(E70=0,"",(F70+G70+H70)/E70)</f>
        <v/>
      </c>
    </row>
    <row r="71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22">
        <f>IF(E71=0,"",(F71+G71+H71)/E71)</f>
        <v/>
      </c>
    </row>
    <row r="72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22">
        <f>IF(E72=0,"",(F72+G72+H72)/E72)</f>
        <v/>
      </c>
    </row>
    <row r="73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22">
        <f>IF(E73=0,"",(F73+G73+H73)/E73)</f>
        <v/>
      </c>
    </row>
    <row r="74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22">
        <f>IF(E74=0,"",(F74+G74+H74)/E74)</f>
        <v/>
      </c>
    </row>
    <row r="75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22">
        <f>IF(E75=0,"",(F75+G75+H75)/E75)</f>
        <v/>
      </c>
    </row>
    <row r="76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22">
        <f>IF(E76=0,"",(F76+G76+H76)/E76)</f>
        <v/>
      </c>
    </row>
    <row r="77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22">
        <f>IF(E77=0,"",(F77+G77+H77)/E77)</f>
        <v/>
      </c>
    </row>
    <row r="78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22">
        <f>IF(E78=0,"",(F78+G78+H78)/E78)</f>
        <v/>
      </c>
    </row>
    <row r="79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22">
        <f>IF(E79=0,"",(F79+G79+H79)/E79)</f>
        <v/>
      </c>
    </row>
    <row r="80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22">
        <f>IF(E80=0,"",(F80+G80+H80)/E80)</f>
        <v/>
      </c>
    </row>
    <row r="81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22">
        <f>IF(E81=0,"",(F81+G81+H81)/E81)</f>
        <v/>
      </c>
    </row>
    <row r="82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22">
        <f>IF(E82=0,"",(F82+G82+H82)/E82)</f>
        <v/>
      </c>
    </row>
    <row r="83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22">
        <f>IF(E83=0,"",(F83+G83+H83)/E83)</f>
        <v/>
      </c>
    </row>
    <row r="84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22">
        <f>IF(E84=0,"",(F84+G84+H84)/E84)</f>
        <v/>
      </c>
    </row>
    <row r="85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22">
        <f>IF(E85=0,"",(F85+G85+H85)/E85)</f>
        <v/>
      </c>
    </row>
    <row r="86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22">
        <f>IF(E86=0,"",(F86+G86+H86)/E86)</f>
        <v/>
      </c>
    </row>
    <row r="87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22">
        <f>IF(E87=0,"",(F87+G87+H87)/E87)</f>
        <v/>
      </c>
    </row>
    <row r="88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22">
        <f>IF(E88=0,"",(F88+G88+H88)/E88)</f>
        <v/>
      </c>
    </row>
    <row r="89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22">
        <f>IF(E89=0,"",(F89+G89+H89)/E89)</f>
        <v/>
      </c>
    </row>
    <row r="90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22">
        <f>IF(E90=0,"",(F90+G90+H90)/E90)</f>
        <v/>
      </c>
    </row>
    <row r="91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22">
        <f>IF(E91=0,"",(F91+G91+H91)/E91)</f>
        <v/>
      </c>
    </row>
    <row r="92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22">
        <f>IF(E92=0,"",(F92+G92+H92)/E92)</f>
        <v/>
      </c>
    </row>
    <row r="93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22">
        <f>IF(E93=0,"",(F93+G93+H93)/E93)</f>
        <v/>
      </c>
    </row>
    <row r="94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22">
        <f>IF(E94=0,"",(F94+G94+H94)/E94)</f>
        <v/>
      </c>
    </row>
    <row r="95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22">
        <f>IF(E95=0,"",(F95+G95+H95)/E95)</f>
        <v/>
      </c>
    </row>
    <row r="96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22">
        <f>IF(E96=0,"",(F96+G96+H96)/E96)</f>
        <v/>
      </c>
    </row>
    <row r="97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22">
        <f>IF(E97=0,"",(F97+G97+H97)/E97)</f>
        <v/>
      </c>
    </row>
    <row r="98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22">
        <f>IF(E98=0,"",(F98+G98+H98)/E98)</f>
        <v/>
      </c>
    </row>
    <row r="99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22">
        <f>IF(E99=0,"",(F99+G99+H99)/E99)</f>
        <v/>
      </c>
    </row>
    <row r="100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22">
        <f>IF(E100=0,"",(F100+G100+H100)/E100)</f>
        <v/>
      </c>
    </row>
    <row r="101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22">
        <f>IF(E101=0,"",(F101+G101+H101)/E101)</f>
        <v/>
      </c>
    </row>
    <row r="102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22">
        <f>IF(E102=0,"",(F102+G102+H102)/E102)</f>
        <v/>
      </c>
    </row>
    <row r="103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22">
        <f>IF(E103=0,"",(F103+G103+H103)/E103)</f>
        <v/>
      </c>
    </row>
    <row r="104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22">
        <f>IF(E104=0,"",(F104+G104+H104)/E104)</f>
        <v/>
      </c>
    </row>
    <row r="105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22">
        <f>IF(E105=0,"",(F105+G105+H105)/E105)</f>
        <v/>
      </c>
    </row>
    <row r="106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22">
        <f>IF(E106=0,"",(F106+G106+H106)/E106)</f>
        <v/>
      </c>
    </row>
    <row r="107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22">
        <f>IF(E107=0,"",(F107+G107+H107)/E107)</f>
        <v/>
      </c>
    </row>
    <row r="108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22">
        <f>IF(E108=0,"",(F108+G108+H108)/E108)</f>
        <v/>
      </c>
    </row>
    <row r="109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22">
        <f>IF(E109=0,"",(F109+G109+H109)/E109)</f>
        <v/>
      </c>
    </row>
    <row r="110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22">
        <f>IF(E110=0,"",(F110+G110+H110)/E110)</f>
        <v/>
      </c>
    </row>
    <row r="111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22">
        <f>IF(E111=0,"",(F111+G111+H111)/E111)</f>
        <v/>
      </c>
    </row>
    <row r="112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22">
        <f>IF(E112=0,"",(F112+G112+H112)/E112)</f>
        <v/>
      </c>
    </row>
    <row r="113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22">
        <f>IF(E113=0,"",(F113+G113+H113)/E113)</f>
        <v/>
      </c>
    </row>
    <row r="114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22">
        <f>IF(E114=0,"",(F114+G114+H114)/E114)</f>
        <v/>
      </c>
    </row>
    <row r="115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22">
        <f>IF(E115=0,"",(F115+G115+H115)/E115)</f>
        <v/>
      </c>
    </row>
    <row r="116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22">
        <f>IF(E116=0,"",(F116+G116+H116)/E116)</f>
        <v/>
      </c>
    </row>
    <row r="117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22">
        <f>IF(E117=0,"",(F117+G117+H117)/E117)</f>
        <v/>
      </c>
    </row>
    <row r="118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22">
        <f>IF(E118=0,"",(F118+G118+H118)/E118)</f>
        <v/>
      </c>
    </row>
    <row r="119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22">
        <f>IF(E119=0,"",(F119+G119+H119)/E119)</f>
        <v/>
      </c>
    </row>
    <row r="120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22">
        <f>IF(E120=0,"",(F120+G120+H120)/E120)</f>
        <v/>
      </c>
    </row>
    <row r="121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22">
        <f>IF(E121=0,"",(F121+G121+H121)/E121)</f>
        <v/>
      </c>
    </row>
    <row r="122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22">
        <f>IF(E122=0,"",(F122+G122+H122)/E122)</f>
        <v/>
      </c>
    </row>
    <row r="123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22">
        <f>IF(E123=0,"",(F123+G123+H123)/E123)</f>
        <v/>
      </c>
    </row>
    <row r="124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22">
        <f>IF(E124=0,"",(F124+G124+H124)/E124)</f>
        <v/>
      </c>
    </row>
    <row r="125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22">
        <f>IF(E125=0,"",(F125+G125+H125)/E125)</f>
        <v/>
      </c>
    </row>
    <row r="126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22">
        <f>IF(E126=0,"",(F126+G126+H126)/E126)</f>
        <v/>
      </c>
    </row>
    <row r="127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22">
        <f>IF(E127=0,"",(F127+G127+H127)/E127)</f>
        <v/>
      </c>
    </row>
    <row r="128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22">
        <f>IF(E128=0,"",(F128+G128+H128)/E128)</f>
        <v/>
      </c>
    </row>
    <row r="129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22">
        <f>IF(E129=0,"",(F129+G129+H129)/E129)</f>
        <v/>
      </c>
    </row>
    <row r="130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22">
        <f>IF(E130=0,"",(F130+G130+H130)/E130)</f>
        <v/>
      </c>
    </row>
    <row r="131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22">
        <f>IF(E131=0,"",(F131+G131+H131)/E131)</f>
        <v/>
      </c>
    </row>
    <row r="132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22">
        <f>IF(E132=0,"",(F132+G132+H132)/E132)</f>
        <v/>
      </c>
    </row>
    <row r="133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22">
        <f>IF(E133=0,"",(F133+G133+H133)/E133)</f>
        <v/>
      </c>
    </row>
    <row r="134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22">
        <f>IF(E134=0,"",(F134+G134+H134)/E134)</f>
        <v/>
      </c>
    </row>
    <row r="135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22">
        <f>IF(E135=0,"",(F135+G135+H135)/E135)</f>
        <v/>
      </c>
    </row>
    <row r="136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22">
        <f>IF(E136=0,"",(F136+G136+H136)/E136)</f>
        <v/>
      </c>
    </row>
    <row r="137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22">
        <f>IF(E137=0,"",(F137+G137+H137)/E137)</f>
        <v/>
      </c>
    </row>
    <row r="138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22">
        <f>IF(E138=0,"",(F138+G138+H138)/E138)</f>
        <v/>
      </c>
    </row>
    <row r="139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22">
        <f>IF(E139=0,"",(F139+G139+H139)/E139)</f>
        <v/>
      </c>
    </row>
    <row r="140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22">
        <f>IF(E140=0,"",(F140+G140+H140)/E140)</f>
        <v/>
      </c>
    </row>
    <row r="141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22">
        <f>IF(E141=0,"",(F141+G141+H141)/E141)</f>
        <v/>
      </c>
    </row>
    <row r="142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22">
        <f>IF(E142=0,"",(F142+G142+H142)/E142)</f>
        <v/>
      </c>
    </row>
    <row r="143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22">
        <f>IF(E143=0,"",(F143+G143+H143)/E143)</f>
        <v/>
      </c>
    </row>
    <row r="144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22">
        <f>IF(E144=0,"",(F144+G144+H144)/E144)</f>
        <v/>
      </c>
    </row>
    <row r="145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22">
        <f>IF(E145=0,"",(F145+G145+H145)/E145)</f>
        <v/>
      </c>
    </row>
    <row r="146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22">
        <f>IF(E146=0,"",(F146+G146+H146)/E146)</f>
        <v/>
      </c>
    </row>
    <row r="147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22">
        <f>IF(E147=0,"",(F147+G147+H147)/E147)</f>
        <v/>
      </c>
    </row>
    <row r="148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22">
        <f>IF(E148=0,"",(F148+G148+H148)/E148)</f>
        <v/>
      </c>
    </row>
    <row r="149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22">
        <f>IF(E149=0,"",(F149+G149+H149)/E149)</f>
        <v/>
      </c>
    </row>
    <row r="150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22">
        <f>IF(E150=0,"",(F150+G150+H150)/E150)</f>
        <v/>
      </c>
    </row>
    <row r="151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22">
        <f>IF(E151=0,"",(F151+G151+H151)/E151)</f>
        <v/>
      </c>
    </row>
    <row r="152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22">
        <f>IF(E152=0,"",(F152+G152+H152)/E152)</f>
        <v/>
      </c>
    </row>
    <row r="153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22">
        <f>IF(E153=0,"",(F153+G153+H153)/E153)</f>
        <v/>
      </c>
    </row>
    <row r="154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22">
        <f>IF(E154=0,"",(F154+G154+H154)/E154)</f>
        <v/>
      </c>
    </row>
    <row r="155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22">
        <f>IF(E155=0,"",(F155+G155+H155)/E155)</f>
        <v/>
      </c>
    </row>
    <row r="156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22">
        <f>IF(E156=0,"",(F156+G156+H156)/E156)</f>
        <v/>
      </c>
    </row>
    <row r="157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22">
        <f>IF(E157=0,"",(F157+G157+H157)/E157)</f>
        <v/>
      </c>
    </row>
    <row r="158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22">
        <f>IF(E158=0,"",(F158+G158+H158)/E158)</f>
        <v/>
      </c>
    </row>
    <row r="159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22">
        <f>IF(E159=0,"",(F159+G159+H159)/E159)</f>
        <v/>
      </c>
    </row>
    <row r="160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22">
        <f>IF(E160=0,"",(F160+G160+H160)/E160)</f>
        <v/>
      </c>
    </row>
    <row r="161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22">
        <f>IF(E161=0,"",(F161+G161+H161)/E161)</f>
        <v/>
      </c>
    </row>
    <row r="162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22">
        <f>IF(E162=0,"",(F162+G162+H162)/E162)</f>
        <v/>
      </c>
    </row>
    <row r="163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22">
        <f>IF(E163=0,"",(F163+G163+H163)/E163)</f>
        <v/>
      </c>
    </row>
    <row r="164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22">
        <f>IF(E164=0,"",(F164+G164+H164)/E164)</f>
        <v/>
      </c>
    </row>
    <row r="165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22">
        <f>IF(E165=0,"",(F165+G165+H165)/E165)</f>
        <v/>
      </c>
    </row>
    <row r="166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22">
        <f>IF(E166=0,"",(F166+G166+H166)/E166)</f>
        <v/>
      </c>
    </row>
    <row r="167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22">
        <f>IF(E167=0,"",(F167+G167+H167)/E167)</f>
        <v/>
      </c>
    </row>
    <row r="168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22">
        <f>IF(E168=0,"",(F168+G168+H168)/E168)</f>
        <v/>
      </c>
    </row>
    <row r="169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22">
        <f>IF(E169=0,"",(F169+G169+H169)/E169)</f>
        <v/>
      </c>
    </row>
    <row r="170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22">
        <f>IF(E170=0,"",(F170+G170+H170)/E170)</f>
        <v/>
      </c>
    </row>
    <row r="171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22">
        <f>IF(E171=0,"",(F171+G171+H171)/E171)</f>
        <v/>
      </c>
    </row>
    <row r="172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22">
        <f>IF(E172=0,"",(F172+G172+H172)/E172)</f>
        <v/>
      </c>
    </row>
    <row r="173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22">
        <f>IF(E173=0,"",(F173+G173+H173)/E173)</f>
        <v/>
      </c>
    </row>
    <row r="174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22">
        <f>IF(E174=0,"",(F174+G174+H174)/E174)</f>
        <v/>
      </c>
    </row>
    <row r="175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22">
        <f>IF(E175=0,"",(F175+G175+H175)/E175)</f>
        <v/>
      </c>
    </row>
    <row r="176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22">
        <f>IF(E176=0,"",(F176+G176+H176)/E176)</f>
        <v/>
      </c>
    </row>
    <row r="177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22">
        <f>IF(E177=0,"",(F177+G177+H177)/E177)</f>
        <v/>
      </c>
    </row>
    <row r="178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22">
        <f>IF(E178=0,"",(F178+G178+H178)/E178)</f>
        <v/>
      </c>
    </row>
    <row r="179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22">
        <f>IF(E179=0,"",(F179+G179+H179)/E179)</f>
        <v/>
      </c>
    </row>
    <row r="180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22">
        <f>IF(E180=0,"",(F180+G180+H180)/E180)</f>
        <v/>
      </c>
    </row>
    <row r="181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22">
        <f>IF(E181=0,"",(F181+G181+H181)/E181)</f>
        <v/>
      </c>
    </row>
    <row r="182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22">
        <f>IF(E182=0,"",(F182+G182+H182)/E182)</f>
        <v/>
      </c>
    </row>
    <row r="183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22">
        <f>IF(E183=0,"",(F183+G183+H183)/E183)</f>
        <v/>
      </c>
    </row>
    <row r="184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22">
        <f>IF(E184=0,"",(F184+G184+H184)/E184)</f>
        <v/>
      </c>
    </row>
    <row r="185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22">
        <f>IF(E185=0,"",(F185+G185+H185)/E185)</f>
        <v/>
      </c>
    </row>
    <row r="186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22">
        <f>IF(E186=0,"",(F186+G186+H186)/E186)</f>
        <v/>
      </c>
    </row>
    <row r="187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22">
        <f>IF(E187=0,"",(F187+G187+H187)/E187)</f>
        <v/>
      </c>
    </row>
    <row r="188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22">
        <f>IF(E188=0,"",(F188+G188+H188)/E188)</f>
        <v/>
      </c>
    </row>
    <row r="189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22">
        <f>IF(E189=0,"",(F189+G189+H189)/E189)</f>
        <v/>
      </c>
    </row>
    <row r="190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22">
        <f>IF(E190=0,"",(F190+G190+H190)/E190)</f>
        <v/>
      </c>
    </row>
    <row r="191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22">
        <f>IF(E191=0,"",(F191+G191+H191)/E191)</f>
        <v/>
      </c>
    </row>
    <row r="192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22">
        <f>IF(E192=0,"",(F192+G192+H192)/E192)</f>
        <v/>
      </c>
    </row>
    <row r="193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22">
        <f>IF(E193=0,"",(F193+G193+H193)/E193)</f>
        <v/>
      </c>
    </row>
    <row r="194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22">
        <f>IF(E194=0,"",(F194+G194+H194)/E194)</f>
        <v/>
      </c>
    </row>
    <row r="195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22">
        <f>IF(E195=0,"",(F195+G195+H195)/E195)</f>
        <v/>
      </c>
    </row>
    <row r="196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22">
        <f>IF(E196=0,"",(F196+G196+H196)/E196)</f>
        <v/>
      </c>
    </row>
    <row r="197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22">
        <f>IF(E197=0,"",(F197+G197+H197)/E197)</f>
        <v/>
      </c>
    </row>
    <row r="198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22">
        <f>IF(E198=0,"",(F198+G198+H198)/E198)</f>
        <v/>
      </c>
    </row>
    <row r="199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22">
        <f>IF(E199=0,"",(F199+G199+H199)/E199)</f>
        <v/>
      </c>
    </row>
    <row r="200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22">
        <f>IF(E200=0,"",(F200+G200+H200)/E200)</f>
        <v/>
      </c>
    </row>
    <row r="201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22">
        <f>IF(E201=0,"",(F201+G201+H201)/E201)</f>
        <v/>
      </c>
    </row>
  </sheetData>
  <dataValidations count="2">
    <dataValidation sqref="B2:B201" showDropDown="0" showInputMessage="0" showErrorMessage="0" allowBlank="1" type="list">
      <formula1>"Instagram,Facebook,TikTok,LinkedIn,Pinterest,Email,Blog,YouTube"</formula1>
    </dataValidation>
    <dataValidation sqref="C2:C201" showDropDown="0" showInputMessage="0" showErrorMessage="0" allowBlank="1" type="list">
      <formula1>"Educate,Behind the scenes,Social proof,Offer / promo,Personal story,Engage / community"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2026-10-11T13:26:59Z</dcterms:created>
  <dcterms:modified xmlns:dcterms="http://purl.org/dc/terms/" xmlns:xsi="http://www.w3.org/2001/XMLSchema-instance" xsi:type="dcterms:W3CDTF">2026-10-11T13:26:59Z</dcterms:modified>
</cp:coreProperties>
</file>